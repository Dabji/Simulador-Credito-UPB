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1 INGENIERÍA DE SISTEMAS UPB\5 Semestre UPB\PI 1\"/>
    </mc:Choice>
  </mc:AlternateContent>
  <xr:revisionPtr revIDLastSave="0" documentId="13_ncr:1_{CB605B76-BC0B-4A21-9F69-F86D9076D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ros" sheetId="1" r:id="rId1"/>
    <sheet name="Equipo_Sprints" sheetId="2" r:id="rId2"/>
    <sheet name="Costos_Fijos" sheetId="3" r:id="rId3"/>
    <sheet name="Resumen_Ejecutiv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H11" i="2"/>
  <c r="H13" i="2"/>
  <c r="F27" i="2"/>
  <c r="F28" i="2"/>
  <c r="F29" i="2"/>
  <c r="F30" i="2"/>
  <c r="F31" i="2"/>
  <c r="D31" i="2"/>
  <c r="H31" i="2" s="1"/>
  <c r="I31" i="2" s="1"/>
  <c r="D30" i="2"/>
  <c r="H30" i="2" s="1"/>
  <c r="I30" i="2" s="1"/>
  <c r="D29" i="2"/>
  <c r="H29" i="2" s="1"/>
  <c r="D28" i="2"/>
  <c r="D27" i="2"/>
  <c r="H27" i="2" s="1"/>
  <c r="I27" i="2" s="1"/>
  <c r="I29" i="2"/>
  <c r="H28" i="2"/>
  <c r="I28" i="2" s="1"/>
  <c r="H32" i="2"/>
  <c r="D20" i="2"/>
  <c r="H20" i="2" s="1"/>
  <c r="D19" i="2"/>
  <c r="H19" i="2" s="1"/>
  <c r="D18" i="2"/>
  <c r="H18" i="2" s="1"/>
  <c r="D17" i="2"/>
  <c r="H17" i="2" s="1"/>
  <c r="D16" i="2"/>
  <c r="F16" i="2" s="1"/>
  <c r="E23" i="3"/>
  <c r="E22" i="3"/>
  <c r="E21" i="3"/>
  <c r="E20" i="3"/>
  <c r="E19" i="3"/>
  <c r="E18" i="3"/>
  <c r="E17" i="3"/>
  <c r="E16" i="3"/>
  <c r="E15" i="3"/>
  <c r="E14" i="3"/>
  <c r="E12" i="3"/>
  <c r="E7" i="3"/>
  <c r="E3" i="3"/>
  <c r="E4" i="3"/>
  <c r="E5" i="3"/>
  <c r="E6" i="3"/>
  <c r="D10" i="2"/>
  <c r="H10" i="2" s="1"/>
  <c r="D9" i="2"/>
  <c r="H9" i="2" s="1"/>
  <c r="D8" i="2"/>
  <c r="F8" i="2" s="1"/>
  <c r="D4" i="2"/>
  <c r="F4" i="2" s="1"/>
  <c r="D6" i="2"/>
  <c r="H6" i="2" s="1"/>
  <c r="D5" i="2"/>
  <c r="H5" i="2" s="1"/>
  <c r="E13" i="3"/>
  <c r="E11" i="3"/>
  <c r="E10" i="3"/>
  <c r="E9" i="3"/>
  <c r="E8" i="3"/>
  <c r="E2" i="3"/>
  <c r="D32" i="2"/>
  <c r="F32" i="2" s="1"/>
  <c r="D26" i="2"/>
  <c r="H26" i="2" s="1"/>
  <c r="D25" i="2"/>
  <c r="F25" i="2" s="1"/>
  <c r="D24" i="2"/>
  <c r="H24" i="2" s="1"/>
  <c r="D21" i="2"/>
  <c r="H21" i="2" s="1"/>
  <c r="D15" i="2"/>
  <c r="F15" i="2" s="1"/>
  <c r="D14" i="2"/>
  <c r="H14" i="2" s="1"/>
  <c r="D13" i="2"/>
  <c r="D7" i="2"/>
  <c r="H7" i="2" s="1"/>
  <c r="D3" i="2"/>
  <c r="H3" i="2" s="1"/>
  <c r="D2" i="2"/>
  <c r="H2" i="2" s="1"/>
  <c r="I32" i="2" l="1"/>
  <c r="E25" i="3"/>
  <c r="C5" i="4" s="1"/>
  <c r="F20" i="2"/>
  <c r="I20" i="2" s="1"/>
  <c r="F14" i="2"/>
  <c r="F17" i="2"/>
  <c r="I17" i="2" s="1"/>
  <c r="H16" i="2"/>
  <c r="I16" i="2" s="1"/>
  <c r="F19" i="2"/>
  <c r="I19" i="2" s="1"/>
  <c r="F18" i="2"/>
  <c r="I18" i="2" s="1"/>
  <c r="F9" i="2"/>
  <c r="I9" i="2" s="1"/>
  <c r="F10" i="2"/>
  <c r="I10" i="2" s="1"/>
  <c r="H4" i="2"/>
  <c r="I4" i="2" s="1"/>
  <c r="H8" i="2"/>
  <c r="I8" i="2" s="1"/>
  <c r="F6" i="2"/>
  <c r="I6" i="2" s="1"/>
  <c r="F5" i="2"/>
  <c r="I5" i="2" s="1"/>
  <c r="F26" i="2"/>
  <c r="I26" i="2" s="1"/>
  <c r="I14" i="2"/>
  <c r="F2" i="2"/>
  <c r="F24" i="2"/>
  <c r="H15" i="2"/>
  <c r="F7" i="2"/>
  <c r="I7" i="2" s="1"/>
  <c r="F13" i="2"/>
  <c r="F21" i="2"/>
  <c r="I21" i="2" s="1"/>
  <c r="H25" i="2"/>
  <c r="I25" i="2" s="1"/>
  <c r="F3" i="2"/>
  <c r="I3" i="2" s="1"/>
  <c r="H22" i="2" l="1"/>
  <c r="F11" i="2"/>
  <c r="H33" i="2"/>
  <c r="I15" i="2"/>
  <c r="I2" i="2"/>
  <c r="F22" i="2"/>
  <c r="I13" i="2"/>
  <c r="F33" i="2"/>
  <c r="I24" i="2"/>
  <c r="I22" i="2" l="1"/>
  <c r="H41" i="2"/>
  <c r="C4" i="4" s="1"/>
  <c r="F41" i="2"/>
  <c r="I33" i="2"/>
  <c r="I11" i="2"/>
  <c r="I41" i="2" l="1"/>
  <c r="C3" i="4"/>
  <c r="C10" i="4" l="1"/>
  <c r="C6" i="4"/>
  <c r="C8" i="4" l="1"/>
  <c r="C7" i="4"/>
  <c r="C9" i="4" l="1"/>
</calcChain>
</file>

<file path=xl/sharedStrings.xml><?xml version="1.0" encoding="utf-8"?>
<sst xmlns="http://schemas.openxmlformats.org/spreadsheetml/2006/main" count="194" uniqueCount="109">
  <si>
    <t>Concepto</t>
  </si>
  <si>
    <t>Valor</t>
  </si>
  <si>
    <t>Descripcion</t>
  </si>
  <si>
    <t>Tarifa PO (COP/hora)</t>
  </si>
  <si>
    <t>Tarifa hora Product Owner</t>
  </si>
  <si>
    <t>Tarifa SM (COP/hora)</t>
  </si>
  <si>
    <t>Tarifa hora Scrum Master</t>
  </si>
  <si>
    <t>Tarifa Dev (COP/hora)</t>
  </si>
  <si>
    <t>Tarifa hora Desarrollador</t>
  </si>
  <si>
    <t>Tarifa QA (COP/hora)</t>
  </si>
  <si>
    <t>Tarifa hora QA / Tester</t>
  </si>
  <si>
    <t>Horas por sprint (por persona)</t>
  </si>
  <si>
    <t>Horas por persona por sprint</t>
  </si>
  <si>
    <t>Numero de sprints</t>
  </si>
  <si>
    <t>Cantidad planificada de sprints</t>
  </si>
  <si>
    <t>Gastos Administrativos (%)</t>
  </si>
  <si>
    <t>Costos indirectos (administracion, gestion, etc.)</t>
  </si>
  <si>
    <t>Imprevistos (%)</t>
  </si>
  <si>
    <t>Colchon de riesgo sobre el costo total</t>
  </si>
  <si>
    <t>Sprint</t>
  </si>
  <si>
    <t>Rol</t>
  </si>
  <si>
    <t>Nombre</t>
  </si>
  <si>
    <t>Tarifa (COP/hora)</t>
  </si>
  <si>
    <t>Horas planificadas</t>
  </si>
  <si>
    <t>Costo planificado (COP)</t>
  </si>
  <si>
    <t>Horas reales</t>
  </si>
  <si>
    <t>Costo real (COP)</t>
  </si>
  <si>
    <t>Var % costo</t>
  </si>
  <si>
    <t>Sprint 1</t>
  </si>
  <si>
    <t>Product Owner</t>
  </si>
  <si>
    <t>Scrum Master</t>
  </si>
  <si>
    <t>Developer</t>
  </si>
  <si>
    <t>QA</t>
  </si>
  <si>
    <t>TOTAL Sprint 1</t>
  </si>
  <si>
    <t>Sprint 2</t>
  </si>
  <si>
    <t>TOTAL Sprint 2</t>
  </si>
  <si>
    <t>Sprint 3</t>
  </si>
  <si>
    <t>TOTAL Sprint 3</t>
  </si>
  <si>
    <t>GRAN TOTAL PROYECTO</t>
  </si>
  <si>
    <t>Categoria</t>
  </si>
  <si>
    <t>Costo mensual (COP)</t>
  </si>
  <si>
    <t>Meses</t>
  </si>
  <si>
    <t>Costo total (COP)</t>
  </si>
  <si>
    <t>Herramientas</t>
  </si>
  <si>
    <t>TOTAL COSTOS FIJOS</t>
  </si>
  <si>
    <t>Referencia / Formula</t>
  </si>
  <si>
    <t>Valor (COP)</t>
  </si>
  <si>
    <t>Notas</t>
  </si>
  <si>
    <t>Costo total planificado (equipo)</t>
  </si>
  <si>
    <t>Equipo_Sprints F26</t>
  </si>
  <si>
    <t>Suma de todos los sprints planificados</t>
  </si>
  <si>
    <t>Equipo_Sprints H26</t>
  </si>
  <si>
    <t>Suma de horas reales ejecutadas</t>
  </si>
  <si>
    <t>Costos fijos (infraestructura y herramientas)</t>
  </si>
  <si>
    <t>Costos_Fijos E8</t>
  </si>
  <si>
    <t>Servidores, licencias, comunicacion</t>
  </si>
  <si>
    <t>Subtotal (equipo + costos fijos)</t>
  </si>
  <si>
    <t>Base para calcular overhead e imprevistos</t>
  </si>
  <si>
    <t>Gastos Administrativos (15%)</t>
  </si>
  <si>
    <t>Costos indirectos de administracion</t>
  </si>
  <si>
    <t>Imprevistos / Contingencia (10%)</t>
  </si>
  <si>
    <t>Subtotal * Parametros!B8</t>
  </si>
  <si>
    <t>Colchon de riesgo del proyecto</t>
  </si>
  <si>
    <t>PRESUPUESTO TOTAL DEL PROYECTO</t>
  </si>
  <si>
    <t>Subtotal + Adm + Imprevistos</t>
  </si>
  <si>
    <t>✅ Valor a presentar al patrocinador</t>
  </si>
  <si>
    <t>Variacion global (plan vs real)</t>
  </si>
  <si>
    <t>(Costo real - Costo plan) / Costo plan</t>
  </si>
  <si>
    <t>Positivo = sobrecosto | Negativo = ahorro</t>
  </si>
  <si>
    <t>C3+C5</t>
  </si>
  <si>
    <t>Subtotal * Parametros!B9</t>
  </si>
  <si>
    <t>David Eduardo Flórez Durán</t>
  </si>
  <si>
    <t>Juan David Ordoñez Ferrerira</t>
  </si>
  <si>
    <t>David Ricardo Carvajal Barragán</t>
  </si>
  <si>
    <t>Juan Pablo Arenas Avendaño</t>
  </si>
  <si>
    <t>Santiago Cifuentes Cardenas</t>
  </si>
  <si>
    <t>Gabriel Matías Rodriguez Castro</t>
  </si>
  <si>
    <t>José David Mora Patiño</t>
  </si>
  <si>
    <t>Simón Perez Gómez</t>
  </si>
  <si>
    <t>Gabriel Arturo Sastoque Cadena</t>
  </si>
  <si>
    <t>Infraestructura/Cloud</t>
  </si>
  <si>
    <t>Backups Droplet (~30% del servidor)</t>
  </si>
  <si>
    <t>Operación/Oficina</t>
  </si>
  <si>
    <t>Coworking (9 puestos x 227.000 COP)</t>
  </si>
  <si>
    <t>Papelería / impresiones</t>
  </si>
  <si>
    <t>Hardware</t>
  </si>
  <si>
    <t>Alquiler portátiles i5 (9 equipos × 80.000 + IVA)</t>
  </si>
  <si>
    <t>Infraestructura/Red</t>
  </si>
  <si>
    <t>UDM-Pro (gateway/firewall)</t>
  </si>
  <si>
    <t>Switch 24 PoE (USW-24-POE)</t>
  </si>
  <si>
    <t>2× AP U6 Lite</t>
  </si>
  <si>
    <t>UPS APC BR1500MS2</t>
  </si>
  <si>
    <t xml:space="preserve">Cableado + rack + patch panel </t>
  </si>
  <si>
    <t>GitHub Team (9 usuarios × $4)</t>
  </si>
  <si>
    <t>Microsoft 365 Business Standard (9 × $12.50)</t>
  </si>
  <si>
    <t>Figma Full seat (2 × $16)</t>
  </si>
  <si>
    <t>Figma Dev seat (7 × $12)</t>
  </si>
  <si>
    <t>GitHub Copilot Pro (6 devs × $10)</t>
  </si>
  <si>
    <t>ChatGPT Plus (3 usuarios × $20)</t>
  </si>
  <si>
    <t>Postman (Free hasta 3 usuarios)</t>
  </si>
  <si>
    <t>📊 RESUMEN EJECUTIVO – PRESUPUESTO PROYECTO SCRUM (3 SPRINTS)</t>
  </si>
  <si>
    <t xml:space="preserve">Costo total real (equipo) </t>
  </si>
  <si>
    <t>StarUML V7 Professional (3 licencias)</t>
  </si>
  <si>
    <t>DO Managed MySQL (base de datos administrada)</t>
  </si>
  <si>
    <t>DO Spaces (Object Storage - almacenamiento de archivos)</t>
  </si>
  <si>
    <t>Droplet DO 2GiB/1vCPU/50GiB (servidor, VM nube)</t>
  </si>
  <si>
    <t>Dominio .com (anual)</t>
  </si>
  <si>
    <t>SSL (Let’s Encrypt - anual)</t>
  </si>
  <si>
    <t>WindSurf Pro(9 usarios x $15)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</si>
</sst>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b/>
      <sz val="13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0" fontId="0" fillId="3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0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0" fontId="0" fillId="6" borderId="1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10" fontId="0" fillId="8" borderId="1" xfId="0" applyNumberFormat="1" applyFill="1" applyBorder="1" applyAlignment="1">
      <alignment horizontal="left" vertical="center"/>
    </xf>
    <xf numFmtId="44" fontId="0" fillId="0" borderId="1" xfId="1" applyFont="1" applyBorder="1"/>
    <xf numFmtId="9" fontId="0" fillId="0" borderId="1" xfId="0" applyNumberFormat="1" applyBorder="1"/>
    <xf numFmtId="44" fontId="0" fillId="3" borderId="1" xfId="1" applyFont="1" applyFill="1" applyBorder="1" applyAlignment="1">
      <alignment horizontal="center" vertical="center"/>
    </xf>
    <xf numFmtId="44" fontId="0" fillId="5" borderId="1" xfId="1" applyFont="1" applyFill="1" applyBorder="1" applyAlignment="1">
      <alignment horizontal="center" vertical="center"/>
    </xf>
    <xf numFmtId="44" fontId="0" fillId="6" borderId="1" xfId="1" applyFont="1" applyFill="1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left" vertical="center"/>
    </xf>
    <xf numFmtId="44" fontId="0" fillId="4" borderId="1" xfId="1" applyFont="1" applyFill="1" applyBorder="1" applyAlignment="1">
      <alignment horizontal="left" vertical="center"/>
    </xf>
    <xf numFmtId="44" fontId="0" fillId="6" borderId="1" xfId="1" applyFont="1" applyFill="1" applyBorder="1" applyAlignment="1">
      <alignment horizontal="left" vertical="center"/>
    </xf>
    <xf numFmtId="44" fontId="5" fillId="7" borderId="1" xfId="1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44" fontId="0" fillId="9" borderId="1" xfId="1" applyFont="1" applyFill="1" applyBorder="1" applyAlignment="1">
      <alignment horizontal="left" vertical="center"/>
    </xf>
    <xf numFmtId="44" fontId="0" fillId="10" borderId="1" xfId="1" applyFont="1" applyFill="1" applyBorder="1" applyAlignment="1">
      <alignment horizontal="left" vertical="center"/>
    </xf>
    <xf numFmtId="44" fontId="0" fillId="4" borderId="1" xfId="1" applyFont="1" applyFill="1" applyBorder="1"/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60" zoomScaleNormal="160" workbookViewId="0">
      <selection activeCell="B11" sqref="B11"/>
    </sheetView>
  </sheetViews>
  <sheetFormatPr baseColWidth="10" defaultColWidth="8.88671875" defaultRowHeight="14.4" x14ac:dyDescent="0.3"/>
  <cols>
    <col min="1" max="1" width="32" customWidth="1"/>
    <col min="2" max="2" width="18" customWidth="1"/>
    <col min="3" max="3" width="4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5">
        <v>90000</v>
      </c>
      <c r="C2" s="2" t="s">
        <v>4</v>
      </c>
    </row>
    <row r="3" spans="1:3" x14ac:dyDescent="0.3">
      <c r="A3" s="2" t="s">
        <v>5</v>
      </c>
      <c r="B3" s="25">
        <v>80000</v>
      </c>
      <c r="C3" s="2" t="s">
        <v>6</v>
      </c>
    </row>
    <row r="4" spans="1:3" x14ac:dyDescent="0.3">
      <c r="A4" s="2" t="s">
        <v>7</v>
      </c>
      <c r="B4" s="25">
        <v>65000</v>
      </c>
      <c r="C4" s="2" t="s">
        <v>8</v>
      </c>
    </row>
    <row r="5" spans="1:3" x14ac:dyDescent="0.3">
      <c r="A5" s="2" t="s">
        <v>9</v>
      </c>
      <c r="B5" s="25">
        <v>55000</v>
      </c>
      <c r="C5" s="2" t="s">
        <v>10</v>
      </c>
    </row>
    <row r="6" spans="1:3" x14ac:dyDescent="0.3">
      <c r="A6" s="2" t="s">
        <v>11</v>
      </c>
      <c r="B6" s="3">
        <v>80</v>
      </c>
      <c r="C6" s="2" t="s">
        <v>12</v>
      </c>
    </row>
    <row r="7" spans="1:3" x14ac:dyDescent="0.3">
      <c r="A7" s="2" t="s">
        <v>13</v>
      </c>
      <c r="B7">
        <v>3</v>
      </c>
      <c r="C7" s="2" t="s">
        <v>14</v>
      </c>
    </row>
    <row r="8" spans="1:3" x14ac:dyDescent="0.3">
      <c r="A8" s="2" t="s">
        <v>15</v>
      </c>
      <c r="B8" s="26">
        <v>0.15</v>
      </c>
      <c r="C8" s="2" t="s">
        <v>16</v>
      </c>
    </row>
    <row r="9" spans="1:3" x14ac:dyDescent="0.3">
      <c r="A9" s="2" t="s">
        <v>17</v>
      </c>
      <c r="B9" s="26">
        <v>0.1</v>
      </c>
      <c r="C9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topLeftCell="A20" workbookViewId="0">
      <selection activeCell="E37" sqref="E37"/>
    </sheetView>
  </sheetViews>
  <sheetFormatPr baseColWidth="10" defaultColWidth="8.88671875" defaultRowHeight="14.4" x14ac:dyDescent="0.3"/>
  <cols>
    <col min="1" max="1" width="14" customWidth="1"/>
    <col min="2" max="2" width="16" customWidth="1"/>
    <col min="3" max="3" width="28.21875" bestFit="1" customWidth="1"/>
    <col min="4" max="4" width="18" customWidth="1"/>
    <col min="5" max="5" width="20" customWidth="1"/>
    <col min="6" max="6" width="24" customWidth="1"/>
    <col min="7" max="7" width="14" customWidth="1"/>
    <col min="8" max="8" width="22" customWidth="1"/>
    <col min="9" max="9" width="14" customWidth="1"/>
  </cols>
  <sheetData>
    <row r="1" spans="1:9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3">
      <c r="A2" s="4" t="s">
        <v>28</v>
      </c>
      <c r="B2" s="5" t="s">
        <v>29</v>
      </c>
      <c r="C2" s="5" t="s">
        <v>71</v>
      </c>
      <c r="D2" s="27">
        <f>Parametros!B2</f>
        <v>90000</v>
      </c>
      <c r="E2" s="4">
        <v>90</v>
      </c>
      <c r="F2" s="27">
        <f t="shared" ref="F2:F10" si="0">D2*E2</f>
        <v>8100000</v>
      </c>
      <c r="G2" s="4">
        <v>60</v>
      </c>
      <c r="H2" s="27">
        <f>D2*G2</f>
        <v>5400000</v>
      </c>
      <c r="I2" s="6">
        <f>IF(F2&gt;0,(H2/F2)-1,0)</f>
        <v>-0.33333333333333337</v>
      </c>
    </row>
    <row r="3" spans="1:9" x14ac:dyDescent="0.3">
      <c r="A3" s="4" t="s">
        <v>28</v>
      </c>
      <c r="B3" s="5" t="s">
        <v>30</v>
      </c>
      <c r="C3" s="5" t="s">
        <v>72</v>
      </c>
      <c r="D3" s="27">
        <f>Parametros!B3</f>
        <v>80000</v>
      </c>
      <c r="E3" s="4">
        <v>70</v>
      </c>
      <c r="F3" s="27">
        <f t="shared" si="0"/>
        <v>5600000</v>
      </c>
      <c r="G3" s="4">
        <v>50</v>
      </c>
      <c r="H3" s="27">
        <f>D3*G3</f>
        <v>4000000</v>
      </c>
      <c r="I3" s="6">
        <f>IF(F3&gt;0,(H3/F3)-1,0)</f>
        <v>-0.2857142857142857</v>
      </c>
    </row>
    <row r="4" spans="1:9" x14ac:dyDescent="0.3">
      <c r="A4" s="4" t="s">
        <v>28</v>
      </c>
      <c r="B4" s="5" t="s">
        <v>31</v>
      </c>
      <c r="C4" s="5" t="s">
        <v>73</v>
      </c>
      <c r="D4" s="27">
        <f>Parametros!B4</f>
        <v>65000</v>
      </c>
      <c r="E4" s="4">
        <v>60</v>
      </c>
      <c r="F4" s="27">
        <f t="shared" si="0"/>
        <v>3900000</v>
      </c>
      <c r="G4" s="4">
        <v>55</v>
      </c>
      <c r="H4" s="27">
        <f t="shared" ref="H4:H10" si="1">D4*G4</f>
        <v>3575000</v>
      </c>
      <c r="I4" s="6">
        <f t="shared" ref="I4:I10" si="2">IF(F4&gt;0,(H4/F4)-1,0)</f>
        <v>-8.333333333333337E-2</v>
      </c>
    </row>
    <row r="5" spans="1:9" x14ac:dyDescent="0.3">
      <c r="A5" s="4" t="s">
        <v>28</v>
      </c>
      <c r="B5" s="5" t="s">
        <v>31</v>
      </c>
      <c r="C5" s="5" t="s">
        <v>74</v>
      </c>
      <c r="D5" s="27">
        <f>Parametros!B4</f>
        <v>65000</v>
      </c>
      <c r="E5" s="4">
        <v>35</v>
      </c>
      <c r="F5" s="27">
        <f t="shared" si="0"/>
        <v>2275000</v>
      </c>
      <c r="G5" s="4">
        <v>25</v>
      </c>
      <c r="H5" s="27">
        <f t="shared" si="1"/>
        <v>1625000</v>
      </c>
      <c r="I5" s="6">
        <f t="shared" si="2"/>
        <v>-0.2857142857142857</v>
      </c>
    </row>
    <row r="6" spans="1:9" x14ac:dyDescent="0.3">
      <c r="A6" s="4" t="s">
        <v>28</v>
      </c>
      <c r="B6" s="5" t="s">
        <v>31</v>
      </c>
      <c r="C6" s="5" t="s">
        <v>77</v>
      </c>
      <c r="D6" s="27">
        <f>Parametros!B4</f>
        <v>65000</v>
      </c>
      <c r="E6" s="4">
        <v>50</v>
      </c>
      <c r="F6" s="27">
        <f t="shared" si="0"/>
        <v>3250000</v>
      </c>
      <c r="G6" s="4">
        <v>40</v>
      </c>
      <c r="H6" s="27">
        <f t="shared" si="1"/>
        <v>2600000</v>
      </c>
      <c r="I6" s="6">
        <f t="shared" si="2"/>
        <v>-0.19999999999999996</v>
      </c>
    </row>
    <row r="7" spans="1:9" x14ac:dyDescent="0.3">
      <c r="A7" s="4" t="s">
        <v>28</v>
      </c>
      <c r="B7" s="5" t="s">
        <v>32</v>
      </c>
      <c r="C7" s="5" t="s">
        <v>79</v>
      </c>
      <c r="D7" s="27">
        <f>Parametros!B5</f>
        <v>55000</v>
      </c>
      <c r="E7" s="4">
        <v>15</v>
      </c>
      <c r="F7" s="27">
        <f t="shared" si="0"/>
        <v>825000</v>
      </c>
      <c r="G7" s="4">
        <v>10</v>
      </c>
      <c r="H7" s="27">
        <f t="shared" si="1"/>
        <v>550000</v>
      </c>
      <c r="I7" s="6">
        <f t="shared" si="2"/>
        <v>-0.33333333333333337</v>
      </c>
    </row>
    <row r="8" spans="1:9" x14ac:dyDescent="0.3">
      <c r="A8" s="4" t="s">
        <v>28</v>
      </c>
      <c r="B8" s="5" t="s">
        <v>31</v>
      </c>
      <c r="C8" s="5" t="s">
        <v>75</v>
      </c>
      <c r="D8" s="27">
        <f>Parametros!B4</f>
        <v>65000</v>
      </c>
      <c r="E8" s="4">
        <v>25</v>
      </c>
      <c r="F8" s="27">
        <f t="shared" si="0"/>
        <v>1625000</v>
      </c>
      <c r="G8" s="4">
        <v>15</v>
      </c>
      <c r="H8" s="27">
        <f t="shared" si="1"/>
        <v>975000</v>
      </c>
      <c r="I8" s="6">
        <f t="shared" si="2"/>
        <v>-0.4</v>
      </c>
    </row>
    <row r="9" spans="1:9" x14ac:dyDescent="0.3">
      <c r="A9" s="4" t="s">
        <v>28</v>
      </c>
      <c r="B9" s="5" t="s">
        <v>31</v>
      </c>
      <c r="C9" s="5" t="s">
        <v>76</v>
      </c>
      <c r="D9" s="27">
        <f>Parametros!B4</f>
        <v>65000</v>
      </c>
      <c r="E9" s="4">
        <v>25</v>
      </c>
      <c r="F9" s="27">
        <f t="shared" si="0"/>
        <v>1625000</v>
      </c>
      <c r="G9" s="4">
        <v>15</v>
      </c>
      <c r="H9" s="27">
        <f t="shared" si="1"/>
        <v>975000</v>
      </c>
      <c r="I9" s="6">
        <f t="shared" si="2"/>
        <v>-0.4</v>
      </c>
    </row>
    <row r="10" spans="1:9" x14ac:dyDescent="0.3">
      <c r="A10" s="4" t="s">
        <v>28</v>
      </c>
      <c r="B10" s="5" t="s">
        <v>31</v>
      </c>
      <c r="C10" s="5" t="s">
        <v>78</v>
      </c>
      <c r="D10" s="27">
        <f>Parametros!B4</f>
        <v>65000</v>
      </c>
      <c r="E10" s="4">
        <v>25</v>
      </c>
      <c r="F10" s="27">
        <f t="shared" si="0"/>
        <v>1625000</v>
      </c>
      <c r="G10" s="4">
        <v>15</v>
      </c>
      <c r="H10" s="27">
        <f t="shared" si="1"/>
        <v>975000</v>
      </c>
      <c r="I10" s="6">
        <f t="shared" si="2"/>
        <v>-0.4</v>
      </c>
    </row>
    <row r="11" spans="1:9" x14ac:dyDescent="0.3">
      <c r="A11" s="7" t="s">
        <v>33</v>
      </c>
      <c r="B11" s="8"/>
      <c r="C11" s="8"/>
      <c r="D11" s="8"/>
      <c r="E11" s="8"/>
      <c r="F11" s="30">
        <f>SUM(F2:F10)</f>
        <v>28825000</v>
      </c>
      <c r="G11" s="8"/>
      <c r="H11" s="30">
        <f>SUM(H2:H10)</f>
        <v>20675000</v>
      </c>
      <c r="I11" s="9">
        <f>IF(F11&gt;0,(H11/F11)-1,0)</f>
        <v>-0.28274067649609713</v>
      </c>
    </row>
    <row r="13" spans="1:9" x14ac:dyDescent="0.3">
      <c r="A13" s="10" t="s">
        <v>34</v>
      </c>
      <c r="B13" s="11" t="s">
        <v>29</v>
      </c>
      <c r="C13" s="11" t="s">
        <v>71</v>
      </c>
      <c r="D13" s="28">
        <f>Parametros!B2</f>
        <v>90000</v>
      </c>
      <c r="E13" s="10">
        <v>70</v>
      </c>
      <c r="F13" s="28">
        <f>D13*E13</f>
        <v>6300000</v>
      </c>
      <c r="G13" s="10">
        <v>65</v>
      </c>
      <c r="H13" s="28">
        <f>D13*G13</f>
        <v>5850000</v>
      </c>
      <c r="I13" s="12">
        <f>IF(F13&gt;0,(H13/F13)-1,0)</f>
        <v>-7.1428571428571397E-2</v>
      </c>
    </row>
    <row r="14" spans="1:9" x14ac:dyDescent="0.3">
      <c r="A14" s="10" t="s">
        <v>34</v>
      </c>
      <c r="B14" s="11" t="s">
        <v>30</v>
      </c>
      <c r="C14" s="11" t="s">
        <v>72</v>
      </c>
      <c r="D14" s="28">
        <f>Parametros!B3</f>
        <v>80000</v>
      </c>
      <c r="E14" s="10">
        <v>80</v>
      </c>
      <c r="F14" s="28">
        <f t="shared" ref="F14:F20" si="3">D14*E14</f>
        <v>6400000</v>
      </c>
      <c r="G14" s="10">
        <v>70</v>
      </c>
      <c r="H14" s="28">
        <f>D14*G14</f>
        <v>5600000</v>
      </c>
      <c r="I14" s="12">
        <f>IF(F14&gt;0,(H14/F14)-1,0)</f>
        <v>-0.125</v>
      </c>
    </row>
    <row r="15" spans="1:9" x14ac:dyDescent="0.3">
      <c r="A15" s="10" t="s">
        <v>34</v>
      </c>
      <c r="B15" s="11" t="s">
        <v>31</v>
      </c>
      <c r="C15" s="11" t="s">
        <v>73</v>
      </c>
      <c r="D15" s="28">
        <f>Parametros!B4</f>
        <v>65000</v>
      </c>
      <c r="E15" s="10">
        <v>70</v>
      </c>
      <c r="F15" s="28">
        <f t="shared" si="3"/>
        <v>4550000</v>
      </c>
      <c r="G15" s="10">
        <v>55</v>
      </c>
      <c r="H15" s="28">
        <f>D15*G15</f>
        <v>3575000</v>
      </c>
      <c r="I15" s="12">
        <f>IF(F15&gt;0,(H15/F15)-1,0)</f>
        <v>-0.2142857142857143</v>
      </c>
    </row>
    <row r="16" spans="1:9" x14ac:dyDescent="0.3">
      <c r="A16" s="10" t="s">
        <v>34</v>
      </c>
      <c r="B16" s="11" t="s">
        <v>31</v>
      </c>
      <c r="C16" s="11" t="s">
        <v>74</v>
      </c>
      <c r="D16" s="28">
        <f>Parametros!B4</f>
        <v>65000</v>
      </c>
      <c r="E16" s="10">
        <v>50</v>
      </c>
      <c r="F16" s="28">
        <f t="shared" si="3"/>
        <v>3250000</v>
      </c>
      <c r="G16" s="10">
        <v>45</v>
      </c>
      <c r="H16" s="28">
        <f t="shared" ref="H16:H21" si="4">D16*G16</f>
        <v>2925000</v>
      </c>
      <c r="I16" s="12">
        <f t="shared" ref="I16:I21" si="5">IF(F16&gt;0,(H16/F16)-1,0)</f>
        <v>-9.9999999999999978E-2</v>
      </c>
    </row>
    <row r="17" spans="1:9" x14ac:dyDescent="0.3">
      <c r="A17" s="10" t="s">
        <v>34</v>
      </c>
      <c r="B17" s="11" t="s">
        <v>31</v>
      </c>
      <c r="C17" s="11" t="s">
        <v>77</v>
      </c>
      <c r="D17" s="28">
        <f>Parametros!B4</f>
        <v>65000</v>
      </c>
      <c r="E17" s="10">
        <v>65</v>
      </c>
      <c r="F17" s="28">
        <f t="shared" si="3"/>
        <v>4225000</v>
      </c>
      <c r="G17" s="10">
        <v>60</v>
      </c>
      <c r="H17" s="28">
        <f t="shared" si="4"/>
        <v>3900000</v>
      </c>
      <c r="I17" s="12">
        <f t="shared" si="5"/>
        <v>-7.6923076923076872E-2</v>
      </c>
    </row>
    <row r="18" spans="1:9" x14ac:dyDescent="0.3">
      <c r="A18" s="10" t="s">
        <v>34</v>
      </c>
      <c r="B18" s="11" t="s">
        <v>31</v>
      </c>
      <c r="C18" s="11" t="s">
        <v>75</v>
      </c>
      <c r="D18" s="28">
        <f>Parametros!B4</f>
        <v>65000</v>
      </c>
      <c r="E18" s="10">
        <v>40</v>
      </c>
      <c r="F18" s="28">
        <f t="shared" si="3"/>
        <v>2600000</v>
      </c>
      <c r="G18" s="10">
        <v>30</v>
      </c>
      <c r="H18" s="28">
        <f t="shared" si="4"/>
        <v>1950000</v>
      </c>
      <c r="I18" s="12">
        <f t="shared" si="5"/>
        <v>-0.25</v>
      </c>
    </row>
    <row r="19" spans="1:9" x14ac:dyDescent="0.3">
      <c r="A19" s="10" t="s">
        <v>34</v>
      </c>
      <c r="B19" s="11" t="s">
        <v>31</v>
      </c>
      <c r="C19" s="11" t="s">
        <v>78</v>
      </c>
      <c r="D19" s="28">
        <f>Parametros!B4</f>
        <v>65000</v>
      </c>
      <c r="E19" s="10">
        <v>50</v>
      </c>
      <c r="F19" s="28">
        <f t="shared" si="3"/>
        <v>3250000</v>
      </c>
      <c r="G19" s="10">
        <v>45</v>
      </c>
      <c r="H19" s="28">
        <f t="shared" si="4"/>
        <v>2925000</v>
      </c>
      <c r="I19" s="12">
        <f t="shared" si="5"/>
        <v>-9.9999999999999978E-2</v>
      </c>
    </row>
    <row r="20" spans="1:9" x14ac:dyDescent="0.3">
      <c r="A20" s="10" t="s">
        <v>34</v>
      </c>
      <c r="B20" s="11" t="s">
        <v>31</v>
      </c>
      <c r="C20" s="11" t="s">
        <v>76</v>
      </c>
      <c r="D20" s="28">
        <f>Parametros!B4</f>
        <v>65000</v>
      </c>
      <c r="E20" s="10">
        <v>65</v>
      </c>
      <c r="F20" s="28">
        <f t="shared" si="3"/>
        <v>4225000</v>
      </c>
      <c r="G20" s="10">
        <v>50</v>
      </c>
      <c r="H20" s="28">
        <f t="shared" si="4"/>
        <v>3250000</v>
      </c>
      <c r="I20" s="12">
        <f t="shared" si="5"/>
        <v>-0.23076923076923073</v>
      </c>
    </row>
    <row r="21" spans="1:9" x14ac:dyDescent="0.3">
      <c r="A21" s="10" t="s">
        <v>34</v>
      </c>
      <c r="B21" s="11" t="s">
        <v>32</v>
      </c>
      <c r="C21" s="11" t="s">
        <v>79</v>
      </c>
      <c r="D21" s="28">
        <f>Parametros!B5</f>
        <v>55000</v>
      </c>
      <c r="E21" s="10">
        <v>50</v>
      </c>
      <c r="F21" s="28">
        <f>D21*E21</f>
        <v>2750000</v>
      </c>
      <c r="G21" s="10">
        <v>50</v>
      </c>
      <c r="H21" s="28">
        <f t="shared" si="4"/>
        <v>2750000</v>
      </c>
      <c r="I21" s="12">
        <f t="shared" si="5"/>
        <v>0</v>
      </c>
    </row>
    <row r="22" spans="1:9" x14ac:dyDescent="0.3">
      <c r="A22" s="7" t="s">
        <v>35</v>
      </c>
      <c r="B22" s="8"/>
      <c r="C22" s="8"/>
      <c r="D22" s="8"/>
      <c r="E22" s="8"/>
      <c r="F22" s="30">
        <f>SUM(F13:F21)</f>
        <v>37550000</v>
      </c>
      <c r="G22" s="8"/>
      <c r="H22" s="30">
        <f>SUM(H13:H21)</f>
        <v>32725000</v>
      </c>
      <c r="I22" s="9">
        <f>IF(F22&gt;0,(H22/F22)-1,0)</f>
        <v>-0.12849533954727033</v>
      </c>
    </row>
    <row r="24" spans="1:9" x14ac:dyDescent="0.3">
      <c r="A24" s="13" t="s">
        <v>36</v>
      </c>
      <c r="B24" s="14" t="s">
        <v>29</v>
      </c>
      <c r="C24" s="14" t="s">
        <v>71</v>
      </c>
      <c r="D24" s="29">
        <f>Parametros!B2</f>
        <v>90000</v>
      </c>
      <c r="E24" s="13">
        <v>70</v>
      </c>
      <c r="F24" s="29">
        <f>D24*E24</f>
        <v>6300000</v>
      </c>
      <c r="G24" s="13">
        <v>60</v>
      </c>
      <c r="H24" s="29">
        <f>D24*G24</f>
        <v>5400000</v>
      </c>
      <c r="I24" s="15">
        <f>IF(F24&gt;0,(H24/F24)-1,0)</f>
        <v>-0.1428571428571429</v>
      </c>
    </row>
    <row r="25" spans="1:9" x14ac:dyDescent="0.3">
      <c r="A25" s="13" t="s">
        <v>36</v>
      </c>
      <c r="B25" s="14" t="s">
        <v>30</v>
      </c>
      <c r="C25" s="14" t="s">
        <v>72</v>
      </c>
      <c r="D25" s="29">
        <f>Parametros!B3</f>
        <v>80000</v>
      </c>
      <c r="E25" s="13">
        <v>60</v>
      </c>
      <c r="F25" s="29">
        <f>D25*E25</f>
        <v>4800000</v>
      </c>
      <c r="G25" s="13">
        <v>55</v>
      </c>
      <c r="H25" s="29">
        <f>D25*G25</f>
        <v>4400000</v>
      </c>
      <c r="I25" s="15">
        <f>IF(F25&gt;0,(H25/F25)-1,0)</f>
        <v>-8.333333333333337E-2</v>
      </c>
    </row>
    <row r="26" spans="1:9" x14ac:dyDescent="0.3">
      <c r="A26" s="13" t="s">
        <v>36</v>
      </c>
      <c r="B26" s="14" t="s">
        <v>31</v>
      </c>
      <c r="C26" s="14" t="s">
        <v>73</v>
      </c>
      <c r="D26" s="29">
        <f>Parametros!B4</f>
        <v>65000</v>
      </c>
      <c r="E26" s="13">
        <v>55</v>
      </c>
      <c r="F26" s="29">
        <f>D26*E26</f>
        <v>3575000</v>
      </c>
      <c r="G26" s="13">
        <v>45</v>
      </c>
      <c r="H26" s="29">
        <f>D26*G26</f>
        <v>2925000</v>
      </c>
      <c r="I26" s="15">
        <f>IF(F26&gt;0,(H26/F26)-1,0)</f>
        <v>-0.18181818181818177</v>
      </c>
    </row>
    <row r="27" spans="1:9" x14ac:dyDescent="0.3">
      <c r="A27" s="13" t="s">
        <v>36</v>
      </c>
      <c r="B27" s="14" t="s">
        <v>31</v>
      </c>
      <c r="C27" s="14" t="s">
        <v>74</v>
      </c>
      <c r="D27" s="29">
        <f>Parametros!B4</f>
        <v>65000</v>
      </c>
      <c r="E27" s="13">
        <v>50</v>
      </c>
      <c r="F27" s="29">
        <f t="shared" ref="F27:F31" si="6">D27*E27</f>
        <v>3250000</v>
      </c>
      <c r="G27" s="13">
        <v>40</v>
      </c>
      <c r="H27" s="29">
        <f t="shared" ref="H27:H32" si="7">D27*G27</f>
        <v>2600000</v>
      </c>
      <c r="I27" s="15">
        <f t="shared" ref="I27:I32" si="8">IF(F27&gt;0,(H27/F27)-1,0)</f>
        <v>-0.19999999999999996</v>
      </c>
    </row>
    <row r="28" spans="1:9" x14ac:dyDescent="0.3">
      <c r="A28" s="13" t="s">
        <v>36</v>
      </c>
      <c r="B28" s="14" t="s">
        <v>31</v>
      </c>
      <c r="C28" s="14" t="s">
        <v>77</v>
      </c>
      <c r="D28" s="29">
        <f>Parametros!B4</f>
        <v>65000</v>
      </c>
      <c r="E28" s="13">
        <v>50</v>
      </c>
      <c r="F28" s="29">
        <f t="shared" si="6"/>
        <v>3250000</v>
      </c>
      <c r="G28" s="13">
        <v>40</v>
      </c>
      <c r="H28" s="29">
        <f t="shared" si="7"/>
        <v>2600000</v>
      </c>
      <c r="I28" s="15">
        <f t="shared" si="8"/>
        <v>-0.19999999999999996</v>
      </c>
    </row>
    <row r="29" spans="1:9" x14ac:dyDescent="0.3">
      <c r="A29" s="13" t="s">
        <v>36</v>
      </c>
      <c r="B29" s="14" t="s">
        <v>31</v>
      </c>
      <c r="C29" s="14" t="s">
        <v>78</v>
      </c>
      <c r="D29" s="29">
        <f>Parametros!B4</f>
        <v>65000</v>
      </c>
      <c r="E29" s="13">
        <v>40</v>
      </c>
      <c r="F29" s="29">
        <f t="shared" si="6"/>
        <v>2600000</v>
      </c>
      <c r="G29" s="13">
        <v>40</v>
      </c>
      <c r="H29" s="29">
        <f t="shared" si="7"/>
        <v>2600000</v>
      </c>
      <c r="I29" s="15">
        <f t="shared" si="8"/>
        <v>0</v>
      </c>
    </row>
    <row r="30" spans="1:9" x14ac:dyDescent="0.3">
      <c r="A30" s="13" t="s">
        <v>36</v>
      </c>
      <c r="B30" s="14" t="s">
        <v>31</v>
      </c>
      <c r="C30" s="14" t="s">
        <v>75</v>
      </c>
      <c r="D30" s="29">
        <f>Parametros!B4</f>
        <v>65000</v>
      </c>
      <c r="E30" s="13">
        <v>35</v>
      </c>
      <c r="F30" s="29">
        <f t="shared" si="6"/>
        <v>2275000</v>
      </c>
      <c r="G30" s="13">
        <v>25</v>
      </c>
      <c r="H30" s="29">
        <f t="shared" si="7"/>
        <v>1625000</v>
      </c>
      <c r="I30" s="15">
        <f t="shared" si="8"/>
        <v>-0.2857142857142857</v>
      </c>
    </row>
    <row r="31" spans="1:9" x14ac:dyDescent="0.3">
      <c r="A31" s="13" t="s">
        <v>36</v>
      </c>
      <c r="B31" s="14" t="s">
        <v>31</v>
      </c>
      <c r="C31" s="14" t="s">
        <v>76</v>
      </c>
      <c r="D31" s="29">
        <f>Parametros!B4</f>
        <v>65000</v>
      </c>
      <c r="E31" s="13">
        <v>35</v>
      </c>
      <c r="F31" s="29">
        <f t="shared" si="6"/>
        <v>2275000</v>
      </c>
      <c r="G31" s="13">
        <v>35</v>
      </c>
      <c r="H31" s="29">
        <f t="shared" si="7"/>
        <v>2275000</v>
      </c>
      <c r="I31" s="15">
        <f t="shared" si="8"/>
        <v>0</v>
      </c>
    </row>
    <row r="32" spans="1:9" x14ac:dyDescent="0.3">
      <c r="A32" s="13" t="s">
        <v>36</v>
      </c>
      <c r="B32" s="14" t="s">
        <v>32</v>
      </c>
      <c r="C32" s="14" t="s">
        <v>79</v>
      </c>
      <c r="D32" s="29">
        <f>Parametros!B5</f>
        <v>55000</v>
      </c>
      <c r="E32" s="13">
        <v>80</v>
      </c>
      <c r="F32" s="29">
        <f>D32*E32</f>
        <v>4400000</v>
      </c>
      <c r="G32" s="13">
        <v>70</v>
      </c>
      <c r="H32" s="29">
        <f t="shared" si="7"/>
        <v>3850000</v>
      </c>
      <c r="I32" s="15">
        <f t="shared" si="8"/>
        <v>-0.125</v>
      </c>
    </row>
    <row r="33" spans="1:9" x14ac:dyDescent="0.3">
      <c r="A33" s="7" t="s">
        <v>37</v>
      </c>
      <c r="B33" s="8"/>
      <c r="C33" s="8"/>
      <c r="D33" s="8"/>
      <c r="E33" s="8"/>
      <c r="F33" s="30">
        <f>SUM(F24:F32)</f>
        <v>32725000</v>
      </c>
      <c r="G33" s="8"/>
      <c r="H33" s="30">
        <f>SUM(H24:H32)</f>
        <v>28275000</v>
      </c>
      <c r="I33" s="9">
        <f>IF(F33&gt;0,(H33/F33)-1,0)</f>
        <v>-0.13598166539343015</v>
      </c>
    </row>
    <row r="41" spans="1:9" x14ac:dyDescent="0.3">
      <c r="A41" s="16" t="s">
        <v>38</v>
      </c>
      <c r="B41" s="17"/>
      <c r="C41" s="17"/>
      <c r="D41" s="17"/>
      <c r="E41" s="17"/>
      <c r="F41" s="31">
        <f>F11+F22+F33</f>
        <v>99100000</v>
      </c>
      <c r="G41" s="17"/>
      <c r="H41" s="31">
        <f>H11+H22+H33</f>
        <v>81675000</v>
      </c>
      <c r="I41" s="18">
        <f>IF(F41&gt;0,(H41/F41)-1,0)</f>
        <v>-0.17583249243188703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opLeftCell="A3" workbookViewId="0">
      <selection activeCell="B26" sqref="B26"/>
    </sheetView>
  </sheetViews>
  <sheetFormatPr baseColWidth="10" defaultColWidth="8.88671875" defaultRowHeight="14.4" x14ac:dyDescent="0.3"/>
  <cols>
    <col min="1" max="1" width="19.6640625" bestFit="1" customWidth="1"/>
    <col min="2" max="2" width="50.88671875" customWidth="1"/>
    <col min="3" max="3" width="22" customWidth="1"/>
    <col min="4" max="4" width="10" customWidth="1"/>
    <col min="5" max="5" width="22" customWidth="1"/>
  </cols>
  <sheetData>
    <row r="1" spans="1:5" x14ac:dyDescent="0.3">
      <c r="A1" s="1" t="s">
        <v>39</v>
      </c>
      <c r="B1" s="1" t="s">
        <v>2</v>
      </c>
      <c r="C1" s="1" t="s">
        <v>40</v>
      </c>
      <c r="D1" s="1" t="s">
        <v>41</v>
      </c>
      <c r="E1" s="1" t="s">
        <v>42</v>
      </c>
    </row>
    <row r="2" spans="1:5" x14ac:dyDescent="0.3">
      <c r="A2" s="2" t="s">
        <v>80</v>
      </c>
      <c r="B2" s="2" t="s">
        <v>105</v>
      </c>
      <c r="C2" s="32">
        <v>45000</v>
      </c>
      <c r="D2" s="2">
        <v>3</v>
      </c>
      <c r="E2" s="32">
        <f t="shared" ref="E2:E18" si="0">C2*D2</f>
        <v>135000</v>
      </c>
    </row>
    <row r="3" spans="1:5" x14ac:dyDescent="0.3">
      <c r="A3" s="2" t="s">
        <v>80</v>
      </c>
      <c r="B3" s="2" t="s">
        <v>103</v>
      </c>
      <c r="C3" s="32">
        <v>56000</v>
      </c>
      <c r="D3" s="2">
        <v>3</v>
      </c>
      <c r="E3" s="32">
        <f t="shared" si="0"/>
        <v>168000</v>
      </c>
    </row>
    <row r="4" spans="1:5" x14ac:dyDescent="0.3">
      <c r="A4" s="2" t="s">
        <v>80</v>
      </c>
      <c r="B4" s="2" t="s">
        <v>104</v>
      </c>
      <c r="C4" s="32">
        <v>18500</v>
      </c>
      <c r="D4" s="2">
        <v>3</v>
      </c>
      <c r="E4" s="32">
        <f t="shared" si="0"/>
        <v>55500</v>
      </c>
    </row>
    <row r="5" spans="1:5" x14ac:dyDescent="0.3">
      <c r="A5" s="2" t="s">
        <v>80</v>
      </c>
      <c r="B5" s="2" t="s">
        <v>81</v>
      </c>
      <c r="C5" s="32">
        <v>14000</v>
      </c>
      <c r="D5" s="2">
        <v>3</v>
      </c>
      <c r="E5" s="32">
        <f t="shared" si="0"/>
        <v>42000</v>
      </c>
    </row>
    <row r="6" spans="1:5" x14ac:dyDescent="0.3">
      <c r="A6" s="2" t="s">
        <v>80</v>
      </c>
      <c r="B6" s="2" t="s">
        <v>106</v>
      </c>
      <c r="C6" s="32">
        <v>30000</v>
      </c>
      <c r="D6" s="2">
        <v>1</v>
      </c>
      <c r="E6" s="32">
        <f t="shared" si="0"/>
        <v>30000</v>
      </c>
    </row>
    <row r="7" spans="1:5" x14ac:dyDescent="0.3">
      <c r="A7" s="2" t="s">
        <v>80</v>
      </c>
      <c r="B7" s="2" t="s">
        <v>107</v>
      </c>
      <c r="C7" s="32">
        <v>24000</v>
      </c>
      <c r="D7" s="2">
        <v>1</v>
      </c>
      <c r="E7" s="32">
        <f t="shared" si="0"/>
        <v>24000</v>
      </c>
    </row>
    <row r="8" spans="1:5" x14ac:dyDescent="0.3">
      <c r="A8" s="2" t="s">
        <v>82</v>
      </c>
      <c r="B8" s="2" t="s">
        <v>83</v>
      </c>
      <c r="C8" s="32">
        <v>2043000</v>
      </c>
      <c r="D8" s="2">
        <v>3</v>
      </c>
      <c r="E8" s="32">
        <f t="shared" si="0"/>
        <v>6129000</v>
      </c>
    </row>
    <row r="9" spans="1:5" x14ac:dyDescent="0.3">
      <c r="A9" s="2" t="s">
        <v>82</v>
      </c>
      <c r="B9" s="2" t="s">
        <v>84</v>
      </c>
      <c r="C9" s="32">
        <v>50000</v>
      </c>
      <c r="D9" s="2">
        <v>3</v>
      </c>
      <c r="E9" s="32">
        <f t="shared" si="0"/>
        <v>150000</v>
      </c>
    </row>
    <row r="10" spans="1:5" ht="20.399999999999999" customHeight="1" x14ac:dyDescent="0.3">
      <c r="A10" s="2" t="s">
        <v>85</v>
      </c>
      <c r="B10" s="40" t="s">
        <v>86</v>
      </c>
      <c r="C10" s="32">
        <v>850000</v>
      </c>
      <c r="D10" s="2">
        <v>3</v>
      </c>
      <c r="E10" s="32">
        <f t="shared" si="0"/>
        <v>2550000</v>
      </c>
    </row>
    <row r="11" spans="1:5" x14ac:dyDescent="0.3">
      <c r="A11" s="2" t="s">
        <v>87</v>
      </c>
      <c r="B11" s="2" t="s">
        <v>88</v>
      </c>
      <c r="C11" s="32">
        <v>1400000</v>
      </c>
      <c r="D11" s="2">
        <v>1</v>
      </c>
      <c r="E11" s="32">
        <f t="shared" si="0"/>
        <v>1400000</v>
      </c>
    </row>
    <row r="12" spans="1:5" x14ac:dyDescent="0.3">
      <c r="A12" s="2" t="s">
        <v>87</v>
      </c>
      <c r="B12" s="2" t="s">
        <v>89</v>
      </c>
      <c r="C12" s="32">
        <v>680000</v>
      </c>
      <c r="D12" s="2">
        <v>1</v>
      </c>
      <c r="E12" s="32">
        <f t="shared" si="0"/>
        <v>680000</v>
      </c>
    </row>
    <row r="13" spans="1:5" x14ac:dyDescent="0.3">
      <c r="A13" s="2" t="s">
        <v>87</v>
      </c>
      <c r="B13" s="2" t="s">
        <v>90</v>
      </c>
      <c r="C13" s="32">
        <v>730000</v>
      </c>
      <c r="D13" s="2">
        <v>1</v>
      </c>
      <c r="E13" s="32">
        <f t="shared" si="0"/>
        <v>730000</v>
      </c>
    </row>
    <row r="14" spans="1:5" x14ac:dyDescent="0.3">
      <c r="A14" s="2" t="s">
        <v>87</v>
      </c>
      <c r="B14" s="2" t="s">
        <v>91</v>
      </c>
      <c r="C14" s="32">
        <v>1500000</v>
      </c>
      <c r="D14" s="2">
        <v>1</v>
      </c>
      <c r="E14" s="32">
        <f t="shared" si="0"/>
        <v>1500000</v>
      </c>
    </row>
    <row r="15" spans="1:5" x14ac:dyDescent="0.3">
      <c r="A15" s="2" t="s">
        <v>87</v>
      </c>
      <c r="B15" s="2" t="s">
        <v>92</v>
      </c>
      <c r="C15" s="32">
        <v>1500000</v>
      </c>
      <c r="D15" s="2">
        <v>1</v>
      </c>
      <c r="E15" s="32">
        <f t="shared" si="0"/>
        <v>1500000</v>
      </c>
    </row>
    <row r="16" spans="1:5" x14ac:dyDescent="0.3">
      <c r="A16" s="2" t="s">
        <v>43</v>
      </c>
      <c r="B16" s="2" t="s">
        <v>93</v>
      </c>
      <c r="C16" s="32">
        <v>133000</v>
      </c>
      <c r="D16" s="2">
        <v>3</v>
      </c>
      <c r="E16" s="32">
        <f t="shared" si="0"/>
        <v>399000</v>
      </c>
    </row>
    <row r="17" spans="1:5" ht="17.399999999999999" customHeight="1" x14ac:dyDescent="0.3">
      <c r="A17" s="2" t="s">
        <v>43</v>
      </c>
      <c r="B17" s="40" t="s">
        <v>94</v>
      </c>
      <c r="C17" s="32">
        <v>415000</v>
      </c>
      <c r="D17" s="2">
        <v>3</v>
      </c>
      <c r="E17" s="32">
        <f t="shared" si="0"/>
        <v>1245000</v>
      </c>
    </row>
    <row r="18" spans="1:5" x14ac:dyDescent="0.3">
      <c r="A18" s="2" t="s">
        <v>43</v>
      </c>
      <c r="B18" s="2" t="s">
        <v>95</v>
      </c>
      <c r="C18" s="32">
        <v>118000</v>
      </c>
      <c r="D18" s="2">
        <v>3</v>
      </c>
      <c r="E18" s="32">
        <f t="shared" si="0"/>
        <v>354000</v>
      </c>
    </row>
    <row r="19" spans="1:5" x14ac:dyDescent="0.3">
      <c r="A19" s="2" t="s">
        <v>43</v>
      </c>
      <c r="B19" s="2" t="s">
        <v>96</v>
      </c>
      <c r="C19" s="32">
        <v>310000</v>
      </c>
      <c r="D19" s="2">
        <v>3</v>
      </c>
      <c r="E19" s="41">
        <f t="shared" ref="E19:E24" si="1">C19*D19</f>
        <v>930000</v>
      </c>
    </row>
    <row r="20" spans="1:5" x14ac:dyDescent="0.3">
      <c r="A20" s="2" t="s">
        <v>43</v>
      </c>
      <c r="B20" s="2" t="s">
        <v>97</v>
      </c>
      <c r="C20" s="32">
        <v>220000</v>
      </c>
      <c r="D20" s="2">
        <v>3</v>
      </c>
      <c r="E20" s="32">
        <f t="shared" si="1"/>
        <v>660000</v>
      </c>
    </row>
    <row r="21" spans="1:5" x14ac:dyDescent="0.3">
      <c r="A21" s="2" t="s">
        <v>43</v>
      </c>
      <c r="B21" s="2" t="s">
        <v>98</v>
      </c>
      <c r="C21" s="32">
        <v>220000</v>
      </c>
      <c r="D21" s="2">
        <v>3</v>
      </c>
      <c r="E21" s="32">
        <f t="shared" si="1"/>
        <v>660000</v>
      </c>
    </row>
    <row r="22" spans="1:5" x14ac:dyDescent="0.3">
      <c r="A22" s="2" t="s">
        <v>43</v>
      </c>
      <c r="B22" s="2" t="s">
        <v>108</v>
      </c>
      <c r="C22" s="32">
        <v>500000</v>
      </c>
      <c r="D22" s="2">
        <v>3</v>
      </c>
      <c r="E22" s="32">
        <f t="shared" si="1"/>
        <v>1500000</v>
      </c>
    </row>
    <row r="23" spans="1:5" x14ac:dyDescent="0.3">
      <c r="A23" s="2" t="s">
        <v>43</v>
      </c>
      <c r="B23" s="2" t="s">
        <v>99</v>
      </c>
      <c r="C23" s="32">
        <v>0</v>
      </c>
      <c r="D23" s="2">
        <v>3</v>
      </c>
      <c r="E23" s="32">
        <f t="shared" si="1"/>
        <v>0</v>
      </c>
    </row>
    <row r="24" spans="1:5" x14ac:dyDescent="0.3">
      <c r="A24" s="2" t="s">
        <v>43</v>
      </c>
      <c r="B24" s="2" t="s">
        <v>102</v>
      </c>
      <c r="C24" s="32">
        <v>735000</v>
      </c>
      <c r="D24" s="2">
        <v>3</v>
      </c>
      <c r="E24" s="32">
        <f t="shared" si="1"/>
        <v>2205000</v>
      </c>
    </row>
    <row r="25" spans="1:5" x14ac:dyDescent="0.3">
      <c r="A25" s="19" t="s">
        <v>44</v>
      </c>
      <c r="B25" s="20"/>
      <c r="C25" s="20"/>
      <c r="D25" s="20"/>
      <c r="E25" s="39">
        <f>SUM(E2:E24)</f>
        <v>23046500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zoomScale="145" zoomScaleNormal="145" workbookViewId="0">
      <selection activeCell="C6" sqref="C6"/>
    </sheetView>
  </sheetViews>
  <sheetFormatPr baseColWidth="10" defaultColWidth="8.88671875" defaultRowHeight="14.4" x14ac:dyDescent="0.3"/>
  <cols>
    <col min="1" max="1" width="40" customWidth="1"/>
    <col min="2" max="2" width="31.44140625" bestFit="1" customWidth="1"/>
    <col min="3" max="3" width="22" customWidth="1"/>
    <col min="4" max="4" width="42" customWidth="1"/>
  </cols>
  <sheetData>
    <row r="1" spans="1:4" ht="28.05" customHeight="1" x14ac:dyDescent="0.3">
      <c r="A1" s="42" t="s">
        <v>100</v>
      </c>
      <c r="B1" s="43"/>
      <c r="C1" s="43"/>
      <c r="D1" s="43"/>
    </row>
    <row r="2" spans="1:4" x14ac:dyDescent="0.3">
      <c r="A2" s="1" t="s">
        <v>0</v>
      </c>
      <c r="B2" s="1" t="s">
        <v>45</v>
      </c>
      <c r="C2" s="1" t="s">
        <v>46</v>
      </c>
      <c r="D2" s="1" t="s">
        <v>47</v>
      </c>
    </row>
    <row r="3" spans="1:4" x14ac:dyDescent="0.3">
      <c r="A3" s="36" t="s">
        <v>48</v>
      </c>
      <c r="B3" s="36" t="s">
        <v>49</v>
      </c>
      <c r="C3" s="37">
        <f>Equipo_Sprints!F41</f>
        <v>99100000</v>
      </c>
      <c r="D3" s="36" t="s">
        <v>50</v>
      </c>
    </row>
    <row r="4" spans="1:4" x14ac:dyDescent="0.3">
      <c r="A4" s="36" t="s">
        <v>101</v>
      </c>
      <c r="B4" s="36" t="s">
        <v>51</v>
      </c>
      <c r="C4" s="38">
        <f>Equipo_Sprints!H41</f>
        <v>81675000</v>
      </c>
      <c r="D4" s="36" t="s">
        <v>52</v>
      </c>
    </row>
    <row r="5" spans="1:4" x14ac:dyDescent="0.3">
      <c r="A5" s="36" t="s">
        <v>53</v>
      </c>
      <c r="B5" s="36" t="s">
        <v>54</v>
      </c>
      <c r="C5" s="37">
        <f>Costos_Fijos!E25</f>
        <v>23046500</v>
      </c>
      <c r="D5" s="36" t="s">
        <v>55</v>
      </c>
    </row>
    <row r="6" spans="1:4" x14ac:dyDescent="0.3">
      <c r="A6" s="21" t="s">
        <v>56</v>
      </c>
      <c r="B6" s="21" t="s">
        <v>69</v>
      </c>
      <c r="C6" s="33">
        <f>C3+C5</f>
        <v>122146500</v>
      </c>
      <c r="D6" s="21" t="s">
        <v>57</v>
      </c>
    </row>
    <row r="7" spans="1:4" x14ac:dyDescent="0.3">
      <c r="A7" s="14" t="s">
        <v>58</v>
      </c>
      <c r="B7" s="14" t="s">
        <v>61</v>
      </c>
      <c r="C7" s="34">
        <f>C6*Parametros!B8</f>
        <v>18321975</v>
      </c>
      <c r="D7" s="14" t="s">
        <v>59</v>
      </c>
    </row>
    <row r="8" spans="1:4" x14ac:dyDescent="0.3">
      <c r="A8" s="14" t="s">
        <v>60</v>
      </c>
      <c r="B8" s="14" t="s">
        <v>70</v>
      </c>
      <c r="C8" s="34">
        <f>C6*Parametros!B9</f>
        <v>12214650</v>
      </c>
      <c r="D8" s="14" t="s">
        <v>62</v>
      </c>
    </row>
    <row r="9" spans="1:4" x14ac:dyDescent="0.3">
      <c r="A9" s="22" t="s">
        <v>63</v>
      </c>
      <c r="B9" s="22" t="s">
        <v>64</v>
      </c>
      <c r="C9" s="35">
        <f>C6+C7+C8</f>
        <v>152683125</v>
      </c>
      <c r="D9" s="22" t="s">
        <v>65</v>
      </c>
    </row>
    <row r="10" spans="1:4" x14ac:dyDescent="0.3">
      <c r="A10" s="23" t="s">
        <v>66</v>
      </c>
      <c r="B10" s="23" t="s">
        <v>67</v>
      </c>
      <c r="C10" s="24">
        <f>IF(C3&gt;0,(C4/C3)-1,0)</f>
        <v>-0.17583249243188703</v>
      </c>
      <c r="D10" s="23" t="s">
        <v>68</v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f881878-aeba-460b-abe9-40606d8469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DF05DDC1D9B1488712C6FC7BBEA810" ma:contentTypeVersion="4" ma:contentTypeDescription="Crear nuevo documento." ma:contentTypeScope="" ma:versionID="df015f70861010c2622ca8ff071b6861">
  <xsd:schema xmlns:xsd="http://www.w3.org/2001/XMLSchema" xmlns:xs="http://www.w3.org/2001/XMLSchema" xmlns:p="http://schemas.microsoft.com/office/2006/metadata/properties" xmlns:ns2="7f881878-aeba-460b-abe9-40606d846941" targetNamespace="http://schemas.microsoft.com/office/2006/metadata/properties" ma:root="true" ma:fieldsID="71d0f7c42b4b04a91cb58b4a7416acdc" ns2:_="">
    <xsd:import namespace="7f881878-aeba-460b-abe9-40606d84694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881878-aeba-460b-abe9-40606d84694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7F097-E158-4D45-826C-E9FA26D43C71}">
  <ds:schemaRefs>
    <ds:schemaRef ds:uri="http://schemas.microsoft.com/office/2006/metadata/properties"/>
    <ds:schemaRef ds:uri="http://schemas.microsoft.com/office/infopath/2007/PartnerControls"/>
    <ds:schemaRef ds:uri="7f881878-aeba-460b-abe9-40606d846941"/>
  </ds:schemaRefs>
</ds:datastoreItem>
</file>

<file path=customXml/itemProps2.xml><?xml version="1.0" encoding="utf-8"?>
<ds:datastoreItem xmlns:ds="http://schemas.openxmlformats.org/officeDocument/2006/customXml" ds:itemID="{CBD2F9A4-C002-496F-959C-225B65A7AB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55007F-AF7B-4946-9612-70CEB91610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881878-aeba-460b-abe9-40606d846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Parametros</vt:lpstr>
      <vt:lpstr>Equipo_Sprints</vt:lpstr>
      <vt:lpstr>Costos_Fijos</vt:lpstr>
      <vt:lpstr>Resumen_Ejecutivo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Eduardo Florez Duran</cp:lastModifiedBy>
  <dcterms:created xsi:type="dcterms:W3CDTF">2026-02-23T02:12:32Z</dcterms:created>
  <dcterms:modified xsi:type="dcterms:W3CDTF">2026-02-25T16:34:31Z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0x010100F7DF05DDC1D9B1488712C6FC7BBEA810</vt:lpwstr>
  </property>
</Properties>
</file>