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1 INGENIERÍA DE SISTEMAS UPB\5 Semestre UPB\PI 1\"/>
    </mc:Choice>
  </mc:AlternateContent>
  <xr:revisionPtr revIDLastSave="0" documentId="13_ncr:1_{E8E1F3AB-0FB1-4406-9E92-D38E567257F5}" xr6:coauthVersionLast="47" xr6:coauthVersionMax="47" xr10:uidLastSave="{00000000-0000-0000-0000-000000000000}"/>
  <bookViews>
    <workbookView xWindow="-108" yWindow="-108" windowWidth="23256" windowHeight="12456" activeTab="2" xr2:uid="{ABF95BBA-902E-445A-BB9D-9364E2B26650}"/>
  </bookViews>
  <sheets>
    <sheet name="Sprint Backlog - P-US" sheetId="1" r:id="rId1"/>
    <sheet name="Sprint Backlog - Tiempo" sheetId="4" r:id="rId2"/>
    <sheet name="Tabla Notas" sheetId="5" r:id="rId3"/>
  </sheets>
  <definedNames>
    <definedName name="_xlnm._FilterDatabase" localSheetId="0" hidden="1">'Sprint Backlog - P-US'!$A$3:$AC$124</definedName>
    <definedName name="_xlnm._FilterDatabase" localSheetId="1" hidden="1">'Sprint Backlog - Tiempo'!$A$3:$AC$3</definedName>
    <definedName name="LISTA" localSheetId="1">#REF!</definedName>
    <definedName name="LISTA">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5" l="1"/>
  <c r="Q4" i="5" s="1"/>
  <c r="P5" i="5"/>
  <c r="Q5" i="5" s="1"/>
  <c r="P6" i="5"/>
  <c r="Q6" i="5" s="1"/>
  <c r="P7" i="5"/>
  <c r="Q7" i="5" s="1"/>
  <c r="P8" i="5"/>
  <c r="Q8" i="5" s="1"/>
  <c r="P9" i="5"/>
  <c r="Q9" i="5" s="1"/>
  <c r="P10" i="5"/>
  <c r="Q10" i="5" s="1"/>
  <c r="P11" i="5"/>
  <c r="Q11" i="5" s="1"/>
  <c r="P12" i="5"/>
  <c r="Q12" i="5" s="1"/>
  <c r="N13" i="5"/>
  <c r="L14" i="5"/>
  <c r="N8" i="5" s="1"/>
  <c r="O8" i="5" s="1"/>
  <c r="G12" i="1"/>
  <c r="G13" i="1"/>
  <c r="G14" i="1"/>
  <c r="G16" i="1"/>
  <c r="G17" i="1"/>
  <c r="G18" i="1"/>
  <c r="G20" i="1"/>
  <c r="G21" i="1"/>
  <c r="G22" i="1"/>
  <c r="G24" i="1"/>
  <c r="G25" i="1"/>
  <c r="G26" i="1"/>
  <c r="G28" i="1"/>
  <c r="G29" i="1"/>
  <c r="G30" i="1"/>
  <c r="G32" i="1"/>
  <c r="G33" i="1"/>
  <c r="G34" i="1"/>
  <c r="G36" i="1"/>
  <c r="G37" i="1"/>
  <c r="G38" i="1"/>
  <c r="G39" i="1"/>
  <c r="G41" i="1"/>
  <c r="G42" i="1"/>
  <c r="G43" i="1"/>
  <c r="G45" i="1"/>
  <c r="G46" i="1"/>
  <c r="G47" i="1"/>
  <c r="G49" i="1"/>
  <c r="G50" i="1"/>
  <c r="G51" i="1"/>
  <c r="G53" i="1"/>
  <c r="G54" i="1"/>
  <c r="G55" i="1"/>
  <c r="G56" i="1"/>
  <c r="G58" i="1"/>
  <c r="G59" i="1"/>
  <c r="G61" i="1"/>
  <c r="G62" i="1"/>
  <c r="G64" i="1"/>
  <c r="G65" i="1"/>
  <c r="G66" i="1"/>
  <c r="G68" i="1"/>
  <c r="G69" i="1"/>
  <c r="G70" i="1"/>
  <c r="G72" i="1"/>
  <c r="G73" i="1"/>
  <c r="G74" i="1"/>
  <c r="G76" i="1"/>
  <c r="G77" i="1"/>
  <c r="G78" i="1"/>
  <c r="G80" i="1"/>
  <c r="G81" i="1"/>
  <c r="G82" i="1"/>
  <c r="G84" i="1"/>
  <c r="G85" i="1"/>
  <c r="G86" i="1"/>
  <c r="G88" i="1"/>
  <c r="G89" i="1"/>
  <c r="G90" i="1"/>
  <c r="G92" i="1"/>
  <c r="G93" i="1"/>
  <c r="G95" i="1"/>
  <c r="G96" i="1"/>
  <c r="G97" i="1"/>
  <c r="G99" i="1"/>
  <c r="G100" i="1"/>
  <c r="G101" i="1"/>
  <c r="G103" i="1"/>
  <c r="G104" i="1"/>
  <c r="G106" i="1"/>
  <c r="G107" i="1"/>
  <c r="G108" i="1"/>
  <c r="G110" i="1"/>
  <c r="G111" i="1"/>
  <c r="G112" i="1"/>
  <c r="G114" i="1"/>
  <c r="G115" i="1"/>
  <c r="G116" i="1"/>
  <c r="G118" i="1"/>
  <c r="G119" i="1"/>
  <c r="G120" i="1"/>
  <c r="G122" i="1"/>
  <c r="G123" i="1"/>
  <c r="G124" i="1"/>
  <c r="G9" i="1"/>
  <c r="G10" i="1"/>
  <c r="G8" i="1"/>
  <c r="F4" i="1"/>
  <c r="N5" i="5" l="1"/>
  <c r="O5" i="5" s="1"/>
  <c r="N4" i="5"/>
  <c r="O4" i="5" s="1"/>
  <c r="N9" i="5"/>
  <c r="O9" i="5" s="1"/>
  <c r="N10" i="5"/>
  <c r="O10" i="5" s="1"/>
  <c r="N11" i="5"/>
  <c r="O11" i="5" s="1"/>
  <c r="N12" i="5"/>
  <c r="O12" i="5" s="1"/>
  <c r="N6" i="5"/>
  <c r="O6" i="5" s="1"/>
  <c r="N7" i="5"/>
  <c r="O7" i="5" s="1"/>
  <c r="G52" i="4"/>
  <c r="G69" i="4"/>
  <c r="G70" i="4"/>
  <c r="G53" i="4"/>
  <c r="G36" i="4"/>
  <c r="G37" i="4"/>
  <c r="G39" i="4"/>
  <c r="G63" i="4"/>
  <c r="G64" i="4"/>
  <c r="G65" i="4"/>
  <c r="G66" i="4"/>
  <c r="G67" i="4"/>
  <c r="G71" i="4"/>
  <c r="G72" i="4"/>
  <c r="G73" i="4"/>
  <c r="G74" i="4"/>
  <c r="G75" i="4"/>
  <c r="G76" i="4"/>
  <c r="G77" i="4"/>
  <c r="G78" i="4"/>
  <c r="G79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27" i="4"/>
  <c r="G28" i="4"/>
  <c r="G29" i="4"/>
  <c r="G30" i="4"/>
  <c r="G31" i="4"/>
  <c r="G32" i="4"/>
  <c r="G33" i="4"/>
  <c r="G34" i="4"/>
  <c r="G35" i="4"/>
  <c r="G38" i="4"/>
  <c r="G40" i="4"/>
  <c r="G41" i="4"/>
  <c r="G42" i="4"/>
  <c r="G43" i="4"/>
  <c r="G44" i="4"/>
  <c r="G46" i="4"/>
  <c r="G47" i="4"/>
  <c r="G48" i="4"/>
  <c r="G50" i="4"/>
  <c r="G51" i="4"/>
  <c r="G54" i="4"/>
  <c r="G55" i="4"/>
  <c r="G56" i="4"/>
  <c r="G57" i="4"/>
  <c r="G58" i="4"/>
  <c r="G59" i="4"/>
  <c r="G60" i="4"/>
  <c r="G61" i="4"/>
  <c r="G62" i="4"/>
  <c r="F4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H4" i="1" l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H4" i="4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H6" i="1"/>
  <c r="H5" i="1" s="1"/>
  <c r="G5" i="4" l="1"/>
  <c r="H5" i="4" l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G5" i="1" l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PILAR REYES HERNANDEZ</author>
  </authors>
  <commentList>
    <comment ref="F2" authorId="0" shapeId="0" xr:uid="{E089F892-9F46-431F-B810-9075EDB52FFF}">
      <text>
        <r>
          <rPr>
            <b/>
            <sz val="9"/>
            <color indexed="81"/>
            <rFont val="Tahoma"/>
            <family val="2"/>
          </rPr>
          <t>https://www.scrumpoker-online.org/es/</t>
        </r>
      </text>
    </comment>
  </commentList>
</comments>
</file>

<file path=xl/sharedStrings.xml><?xml version="1.0" encoding="utf-8"?>
<sst xmlns="http://schemas.openxmlformats.org/spreadsheetml/2006/main" count="1190" uniqueCount="288">
  <si>
    <t>SEGUIMIENTO PUNTOS POR HISTORIA DE USUARIO</t>
  </si>
  <si>
    <t>SEMANA 1 - SPRINT I</t>
  </si>
  <si>
    <t>SEMANA 2 - SPRINT I</t>
  </si>
  <si>
    <t>SEMANA 3 - SPRINT I</t>
  </si>
  <si>
    <t>SPRINT I</t>
  </si>
  <si>
    <t>EPIC-ID</t>
  </si>
  <si>
    <t>US-ID</t>
  </si>
  <si>
    <t>US/TASK</t>
  </si>
  <si>
    <t>ASIGNADO A</t>
  </si>
  <si>
    <t>ESTADO</t>
  </si>
  <si>
    <t>P-US ASIGNADOS</t>
  </si>
  <si>
    <t>P-US REALIZADOS</t>
  </si>
  <si>
    <t>AVANCE ESPERADO DEL SPRINT I --&gt;</t>
  </si>
  <si>
    <t>&lt;-- Total días del SPRINT</t>
  </si>
  <si>
    <t>AVANCE REAL DEL SPRINT I --&gt;</t>
  </si>
  <si>
    <t>P-US REALIZADOS POR DIA SPRINT I --&gt;</t>
  </si>
  <si>
    <t>EP-01</t>
  </si>
  <si>
    <t>HU-44</t>
  </si>
  <si>
    <t>Definir arquitectura de información y navegación</t>
  </si>
  <si>
    <t>Richard</t>
  </si>
  <si>
    <t>DONE</t>
  </si>
  <si>
    <t>HU-44.01</t>
  </si>
  <si>
    <t>Revisar los objetivos del simulador y listar todas las pantallas que debe tener</t>
  </si>
  <si>
    <t>Juanpa</t>
  </si>
  <si>
    <t>HU-44.02</t>
  </si>
  <si>
    <t>Definir el flujo de navegación completo para usuario invitado y usuario autenticado</t>
  </si>
  <si>
    <t>HU-44.03</t>
  </si>
  <si>
    <t>Documentar el mapa del sitio y validarlo con el equipo para dejarlo aprobado</t>
  </si>
  <si>
    <t>HU-45</t>
  </si>
  <si>
    <t>Wireframes de pantallas clave del simulador</t>
  </si>
  <si>
    <t>HU-45.01</t>
  </si>
  <si>
    <t>Crear wireframes de baja fidelidad para las pantallas principales según el mapa del sitio</t>
  </si>
  <si>
    <t>HU-45.02</t>
  </si>
  <si>
    <t>Definir el contenido exacto de cada pantalla y el orden de los elementos del formulario</t>
  </si>
  <si>
    <t>HU-45.03</t>
  </si>
  <si>
    <t>Agregar estados de carga, error y éxito en los wireframes y dejarlo validado</t>
  </si>
  <si>
    <t>HU-46</t>
  </si>
  <si>
    <t>Definir Design System (UI kit)</t>
  </si>
  <si>
    <t>HU-46.01</t>
  </si>
  <si>
    <t>Definir la paleta de colores, tipografías y tamaños base para toda la aplicación</t>
  </si>
  <si>
    <t>HU-46.02</t>
  </si>
  <si>
    <t>Definir componentes reutilizables como botones, inputs, tablas y alertas con sus variantes</t>
  </si>
  <si>
    <t>Cifuentes</t>
  </si>
  <si>
    <t>HU-46.03</t>
  </si>
  <si>
    <t>Dejar documentadas reglas de uso para mantener consistencia en todas las pantallas</t>
  </si>
  <si>
    <t>HU-47</t>
  </si>
  <si>
    <t>Prototipo UI navegable</t>
  </si>
  <si>
    <t>HU-47.01</t>
  </si>
  <si>
    <t>Construir un prototipo navegable con las pantallas principales y enlaces entre ellas</t>
  </si>
  <si>
    <t>HU-47.02</t>
  </si>
  <si>
    <t>Realizar revisión con cliente y registrar cambios solicitados</t>
  </si>
  <si>
    <t>HU-47.03</t>
  </si>
  <si>
    <t>Ajustar el prototipo y dejar una versión final aprobada para desarrollo</t>
  </si>
  <si>
    <t>EP-02</t>
  </si>
  <si>
    <t>HU-48</t>
  </si>
  <si>
    <t>Estructurar repositorio y convenciones de trabajo</t>
  </si>
  <si>
    <t>Ordo</t>
  </si>
  <si>
    <t>HU-48.01</t>
  </si>
  <si>
    <t>Crear repositorio y organizar carpetas base para frontend, backend y documentación</t>
  </si>
  <si>
    <t>HU-48.02</t>
  </si>
  <si>
    <t>Definir reglas de ramas, commits y pull requests para trabajar en equipo sin conflictos</t>
  </si>
  <si>
    <t>HU-48.03</t>
  </si>
  <si>
    <t>Escribir un README con pasos para ejecutar el proyecto y aportar al equipo</t>
  </si>
  <si>
    <t>David</t>
  </si>
  <si>
    <t>HU-49</t>
  </si>
  <si>
    <t>Setup Frontend base (React + Tailwind)</t>
  </si>
  <si>
    <t>HU-49.01</t>
  </si>
  <si>
    <t>Crear el proyecto frontend y verificar que compila y corre en local sin errores</t>
  </si>
  <si>
    <t>Matías</t>
  </si>
  <si>
    <t>HU-49.02</t>
  </si>
  <si>
    <t>Configurar Tailwind y definir un layout base con header, contenedor y estilos globales</t>
  </si>
  <si>
    <t>HU-49.03</t>
  </si>
  <si>
    <t>Configurar rutas principales y páginas vacías para permitir navegación desde el inicio</t>
  </si>
  <si>
    <t>HU-50</t>
  </si>
  <si>
    <t>Setup Backend base (API)</t>
  </si>
  <si>
    <t>HU-50.01</t>
  </si>
  <si>
    <t>Crear el proyecto backend con estructura por módulos y un endpoint de verificación de salud</t>
  </si>
  <si>
    <t>Simón</t>
  </si>
  <si>
    <t>HU-50.02</t>
  </si>
  <si>
    <t>Configurar variables de entorno y dejar lista la conexión a servicios necesarios</t>
  </si>
  <si>
    <t>HU-50.03</t>
  </si>
  <si>
    <t>Documentar endpoints base y cómo correr el backend en local para todo el equipo</t>
  </si>
  <si>
    <t>EP-03</t>
  </si>
  <si>
    <t>HU-51</t>
  </si>
  <si>
    <t>Diseñar modelo ER y diccionario de datos</t>
  </si>
  <si>
    <t>Mora</t>
  </si>
  <si>
    <t>HU-51.01</t>
  </si>
  <si>
    <t>Identificar entidades y relaciones necesarias para usuarios, simulaciones, parámetros y auditoría</t>
  </si>
  <si>
    <t>HU-51.02</t>
  </si>
  <si>
    <t>Diseñar el diagrama ER con llaves primarias y foráneas según las reglas del negocio</t>
  </si>
  <si>
    <t>HU-51.03</t>
  </si>
  <si>
    <t>Crear el diccionario de datos con campos, tipos y restricciones para cada tabla</t>
  </si>
  <si>
    <t>HU-51.04</t>
  </si>
  <si>
    <t>Revisar el modelo con el equipo y dejar una versión final aprobada y guardada</t>
  </si>
  <si>
    <t>EP-04</t>
  </si>
  <si>
    <t>HU-54</t>
  </si>
  <si>
    <t>Manejo estándar de errores y logging</t>
  </si>
  <si>
    <t>HU-54.01</t>
  </si>
  <si>
    <t>Definir un formato estándar de respuesta de error para toda la API</t>
  </si>
  <si>
    <t>HU-54.02</t>
  </si>
  <si>
    <t>Implementar manejo centralizado de errores para evitar respuestas inconsistentes</t>
  </si>
  <si>
    <t>HU-54.03</t>
  </si>
  <si>
    <t>Registrar errores y eventos importantes para facilitar depuración y evidencia</t>
  </si>
  <si>
    <t>EP-05</t>
  </si>
  <si>
    <t>HU-01</t>
  </si>
  <si>
    <t>Registro de cuenta del simulador</t>
  </si>
  <si>
    <t>HU-01.01</t>
  </si>
  <si>
    <t>Diseñar la pantalla de registro con campos y mensajes claros según el prototipo</t>
  </si>
  <si>
    <t>Sastoque</t>
  </si>
  <si>
    <t>HU-01.02</t>
  </si>
  <si>
    <t>Crear endpoint de registro y guardar el usuario con contraseña cifrada en la base de datos</t>
  </si>
  <si>
    <t>HU-01.03</t>
  </si>
  <si>
    <t>Probar registro con casos válidos, correo duplicado y errores esperados</t>
  </si>
  <si>
    <t>HU-02</t>
  </si>
  <si>
    <t>Validación de datos de registro y contraseña</t>
  </si>
  <si>
    <t>HU-02.01</t>
  </si>
  <si>
    <t>Definir reglas de contraseña y formato de correo según políticas acordadas</t>
  </si>
  <si>
    <t>HU-02.02</t>
  </si>
  <si>
    <t>Implementar validación en frontend y mostrar mensajes por campo cuando haya errores</t>
  </si>
  <si>
    <t>HU-02.03</t>
  </si>
  <si>
    <t>Implementar validación en backend para evitar registros inválidos aunque el front falle</t>
  </si>
  <si>
    <t>HU-03</t>
  </si>
  <si>
    <t>Inicio de sesión institucional</t>
  </si>
  <si>
    <t>HU-03.01</t>
  </si>
  <si>
    <t>Crear pantalla de inicio de sesión con estados de carga y error entendibles</t>
  </si>
  <si>
    <t>HU-03.02</t>
  </si>
  <si>
    <t>Implementar endpoint de login y conectar autenticación institucional según lo acordado</t>
  </si>
  <si>
    <t>HU-03.03</t>
  </si>
  <si>
    <t>Guardar sesión o token para mantener al usuario autenticado durante la navegación</t>
  </si>
  <si>
    <t>HU-03.04</t>
  </si>
  <si>
    <t>Probar login con credenciales válidas, inválidas y fallas del servicio</t>
  </si>
  <si>
    <t>HU-04</t>
  </si>
  <si>
    <t>Mensajes de error de autenticación</t>
  </si>
  <si>
    <t>HU-04.01</t>
  </si>
  <si>
    <t>Definir mensajes para error de credenciales, usuario no autorizado y error del servidor</t>
  </si>
  <si>
    <t>HU-04.02</t>
  </si>
  <si>
    <t>Implementar visualización de errores en pantalla de forma consistente y clara</t>
  </si>
  <si>
    <t>HU-05</t>
  </si>
  <si>
    <t>Cerrar sesión</t>
  </si>
  <si>
    <t>HU-05.01</t>
  </si>
  <si>
    <t>Implementar botón de cerrar sesión y eliminar token o sesión local</t>
  </si>
  <si>
    <t>HU-05.02</t>
  </si>
  <si>
    <t>Probar que al cerrar sesión no se pueda volver a entrar usando navegación atrás</t>
  </si>
  <si>
    <t>HU-06</t>
  </si>
  <si>
    <t>Manejo básico de sesión activa</t>
  </si>
  <si>
    <t>HU-06.01</t>
  </si>
  <si>
    <t>Definir expiración de sesión y comportamiento cuando el token ya no sea válido</t>
  </si>
  <si>
    <t>HU-06.02</t>
  </si>
  <si>
    <t>Proteger rutas del frontend para bloquear acceso si no hay sesión activa</t>
  </si>
  <si>
    <t>HU-06.03</t>
  </si>
  <si>
    <t>Proteger endpoints del backend para exigir autenticación cuando corresponda</t>
  </si>
  <si>
    <t>EP-06</t>
  </si>
  <si>
    <t>HU-07</t>
  </si>
  <si>
    <t>Identificar rol de usuario autenticado</t>
  </si>
  <si>
    <t>HU-07.01</t>
  </si>
  <si>
    <t>Definir roles y permisos base para estudiante y administrador</t>
  </si>
  <si>
    <t>HU-07.02</t>
  </si>
  <si>
    <t>Devolver el rol del usuario en la respuesta del login o en un endpoint de perfil</t>
  </si>
  <si>
    <t>HU-07.03</t>
  </si>
  <si>
    <t>Validar con pruebas que usuarios distintos reciben el rol correcto</t>
  </si>
  <si>
    <t>HU-52</t>
  </si>
  <si>
    <t>Autorización por roles en la API</t>
  </si>
  <si>
    <t>HU-52.01</t>
  </si>
  <si>
    <t>Crear una matriz de permisos por endpoint indicando qué rol puede acceder</t>
  </si>
  <si>
    <t>HU-52.02</t>
  </si>
  <si>
    <t>Implementar middleware de autorización para bloquear accesos no permitidos</t>
  </si>
  <si>
    <t>HU-52.03</t>
  </si>
  <si>
    <t>Probar respuestas 401 y 403 y confirmar que solo admin accede a administración</t>
  </si>
  <si>
    <t>HU-08</t>
  </si>
  <si>
    <t>Acceso del rol de Estudiante</t>
  </si>
  <si>
    <t>HU-08.01</t>
  </si>
  <si>
    <t>Definir menú y rutas visibles para el estudiante dentro del frontend</t>
  </si>
  <si>
    <t>HU-08.02</t>
  </si>
  <si>
    <t>Implementar protección de rutas para que el estudiante no vea pantallas de admin</t>
  </si>
  <si>
    <t>HU-08.03</t>
  </si>
  <si>
    <t>Probar navegación y confirmar que no se puede acceder a URLs de administrador</t>
  </si>
  <si>
    <t>HU-09</t>
  </si>
  <si>
    <t>Acceso del rol de Administrador</t>
  </si>
  <si>
    <t>HU-09.01</t>
  </si>
  <si>
    <t>Definir pantallas y acciones que estarán disponibles para administración</t>
  </si>
  <si>
    <t>HU-09.02</t>
  </si>
  <si>
    <t>Implementar menú admin y protección de rutas para que solo admin las vea</t>
  </si>
  <si>
    <t>HU-09.03</t>
  </si>
  <si>
    <t>Validar con pruebas que admin sí accede y estudiante no accede</t>
  </si>
  <si>
    <t>EP-07</t>
  </si>
  <si>
    <t>HU-13</t>
  </si>
  <si>
    <t>Crear nueva simulación desde formulario</t>
  </si>
  <si>
    <t>HU-13.01</t>
  </si>
  <si>
    <t>Crear la página del formulario de simulación respetando el diseño aprobado</t>
  </si>
  <si>
    <t>HU-13.02</t>
  </si>
  <si>
    <t>Implementar el envío del formulario y la captura de datos en el frontend</t>
  </si>
  <si>
    <t>HU-13.03</t>
  </si>
  <si>
    <t>Confirmar navegación correcta hacia la pantalla de resultados cuando se calcule</t>
  </si>
  <si>
    <t>HU-14</t>
  </si>
  <si>
    <t>Selección tipo de estudiante y campo de beca condicionado</t>
  </si>
  <si>
    <t>HU-14.01</t>
  </si>
  <si>
    <t>Agregar selector de tipo de estudiante con opciones nuevo y continuo</t>
  </si>
  <si>
    <t>HU-14.02</t>
  </si>
  <si>
    <t>Configurar que el campo de beca se habilite cuando el estudiante sea continuo o nuevo</t>
  </si>
  <si>
    <t>HU-14.03</t>
  </si>
  <si>
    <t>Validar que la beca no permita valores fuera de lo permitido por la institución</t>
  </si>
  <si>
    <t>HU-15</t>
  </si>
  <si>
    <t>Selección de nivel de formación</t>
  </si>
  <si>
    <t>HU-15.01</t>
  </si>
  <si>
    <t>Agregar campo de nivel de formación con opciones válidas en el formulario</t>
  </si>
  <si>
    <t>HU-15.02</t>
  </si>
  <si>
    <t>Validar que el campo sea obligatorio antes de permitir calcular</t>
  </si>
  <si>
    <t>HU-16</t>
  </si>
  <si>
    <t>Registrar valor de matrícula en COP con validación</t>
  </si>
  <si>
    <t>HU-16.01</t>
  </si>
  <si>
    <t>Crear input de matrícula con formato de moneda COP en el frontend</t>
  </si>
  <si>
    <t>HU-16.02</t>
  </si>
  <si>
    <t>Validar que el valor sea numérico y esté dentro de un rango permitido</t>
  </si>
  <si>
    <t>HU-16.03</t>
  </si>
  <si>
    <t>Probar que el valor se envía correctamente al motor sin perder formato</t>
  </si>
  <si>
    <t>HU-17</t>
  </si>
  <si>
    <t>Ingresar cuota inicial como % o COP y validar mínimo 20%</t>
  </si>
  <si>
    <t>HU-17.01</t>
  </si>
  <si>
    <t>Implementar campo de cuota inicial en COP y definir su validación mínima</t>
  </si>
  <si>
    <t>HU-17.02</t>
  </si>
  <si>
    <t>Implementar campo alterno en porcentaje y convertir automáticamente a COP</t>
  </si>
  <si>
    <t>HU-17.03</t>
  </si>
  <si>
    <t>Probar casos límite y confirmar que el sistema bloquea valores menores al 20%</t>
  </si>
  <si>
    <t>HU-18</t>
  </si>
  <si>
    <t>Seleccionar modalidad con/sin intereses</t>
  </si>
  <si>
    <t>HU-18.01</t>
  </si>
  <si>
    <t>Agregar selector de modalidad y guardar la elección dentro del formulario</t>
  </si>
  <si>
    <t>HU-18.02</t>
  </si>
  <si>
    <t>Asegurar que la modalidad se envíe al motor de cálculo como parte del request</t>
  </si>
  <si>
    <t>HU-19</t>
  </si>
  <si>
    <t>Definir número de pagos según modalidad</t>
  </si>
  <si>
    <t>HU-19.01</t>
  </si>
  <si>
    <t>Agregar selector de número de cuotas y mostrar opciones permitidas por modalidad</t>
  </si>
  <si>
    <t>HU-19.02</t>
  </si>
  <si>
    <t>Validar en frontend que el número de cuotas sea válido antes de calcular</t>
  </si>
  <si>
    <t>HU-19.03</t>
  </si>
  <si>
    <t>Validar en backend que no se acepte un número de cuotas fuera del rango</t>
  </si>
  <si>
    <t>HU-20</t>
  </si>
  <si>
    <t>Validación en tiempo real y bloque de "Calcular"</t>
  </si>
  <si>
    <t>HU-20.01</t>
  </si>
  <si>
    <t>Implementar validación en tiempo real para todos los campos del formulario</t>
  </si>
  <si>
    <t>HU-20.02</t>
  </si>
  <si>
    <t>Deshabilitar el botón Calcular hasta que todos los campos estén correctos</t>
  </si>
  <si>
    <t>HU-20.03</t>
  </si>
  <si>
    <t>Probar flujo completo con errores y confirmar que el usuario entiende qué corregir</t>
  </si>
  <si>
    <t>EP-20</t>
  </si>
  <si>
    <t>HU-73</t>
  </si>
  <si>
    <t>Definir contenido y estructura de la landing page</t>
  </si>
  <si>
    <t>HU-73.01</t>
  </si>
  <si>
    <t>Definir secciones obligatorias de la landing y el objetivo de cada sección</t>
  </si>
  <si>
    <t>HU-73.02</t>
  </si>
  <si>
    <t>Escribir los textos base y llamados a la acción con lenguaje de la identidad corporativa</t>
  </si>
  <si>
    <t>HU-73.03</t>
  </si>
  <si>
    <t>Validar el contenido con el equipo y ajustar para versión final</t>
  </si>
  <si>
    <t>HU-74</t>
  </si>
  <si>
    <t>Prototipo UI responsivo de la landing page.</t>
  </si>
  <si>
    <t>HU-74.01</t>
  </si>
  <si>
    <t>Crear prototipo desktop con estructura completa y estilos base</t>
  </si>
  <si>
    <t>HU-74.02</t>
  </si>
  <si>
    <t>Crear prototipo mobile y ajustar navegación para pantallas pequeñas</t>
  </si>
  <si>
    <t>HU-74.03</t>
  </si>
  <si>
    <t>Validar prototipo y dejarlo aprobado para desarrollo HTML/CSS</t>
  </si>
  <si>
    <t>HU-75</t>
  </si>
  <si>
    <t>Guía visual de la landing (tokens + componentes)</t>
  </si>
  <si>
    <t>HU-75.01</t>
  </si>
  <si>
    <t>Definir paleta, tipografía y espaciados para consistencia visual</t>
  </si>
  <si>
    <t>HU-75.02</t>
  </si>
  <si>
    <t>Definir componentes base para la landing como botones, cards, navbar y footer</t>
  </si>
  <si>
    <t>HU-75.03</t>
  </si>
  <si>
    <t>Documentar reglas rápidas para que cualquiera del equipo pueda maquetar igual</t>
  </si>
  <si>
    <t>SEGUIMIENTO TIEMPO EMPLEADO POR HISTORIA DE USUARIO (HORAS)</t>
  </si>
  <si>
    <t>Tiempo en horas proyectado</t>
  </si>
  <si>
    <t>Horas invertidas</t>
  </si>
  <si>
    <t>TIEMPO ESTIMADO DEL SPRINT I --&gt;</t>
  </si>
  <si>
    <t>TIEMPO REAL EN HORAS DEL SPRINT I --&gt;</t>
  </si>
  <si>
    <t>TIEMPO INVERTIDO DIARIO POR HORAS SPRINT I --&gt;</t>
  </si>
  <si>
    <t>Etiquetas de fila</t>
  </si>
  <si>
    <t>(en blanco)</t>
  </si>
  <si>
    <t>Total general</t>
  </si>
  <si>
    <t>Suma de P-US ASIGNADOS</t>
  </si>
  <si>
    <t>Suma de P-US REALIZADOS</t>
  </si>
  <si>
    <t>Nombre estudiante</t>
  </si>
  <si>
    <t>NOTA BASADA EN PROMEDIO</t>
  </si>
  <si>
    <t>%BASADO EN RENDIMIENTO INDIVIDUAL</t>
  </si>
  <si>
    <t>NOTA BASADA EN RENDIMIENTO INDIVIDUAL</t>
  </si>
  <si>
    <t>NOTA</t>
  </si>
  <si>
    <t>PROMEDIOS</t>
  </si>
  <si>
    <t>% BASADO EN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</si>
</sst>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AD1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584FA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11" borderId="0" applyNumberFormat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16" fontId="3" fillId="3" borderId="10" xfId="0" applyNumberFormat="1" applyFont="1" applyFill="1" applyBorder="1" applyAlignment="1">
      <alignment horizontal="center" vertical="top" wrapText="1"/>
    </xf>
    <xf numFmtId="16" fontId="3" fillId="4" borderId="10" xfId="0" applyNumberFormat="1" applyFont="1" applyFill="1" applyBorder="1" applyAlignment="1">
      <alignment horizontal="center" vertical="top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164" fontId="4" fillId="4" borderId="10" xfId="0" applyNumberFormat="1" applyFont="1" applyFill="1" applyBorder="1" applyAlignment="1">
      <alignment horizontal="center" vertical="center" wrapText="1"/>
    </xf>
    <xf numFmtId="164" fontId="5" fillId="6" borderId="10" xfId="0" applyNumberFormat="1" applyFont="1" applyFill="1" applyBorder="1" applyAlignment="1">
      <alignment horizontal="center" vertical="top" wrapText="1"/>
    </xf>
    <xf numFmtId="164" fontId="5" fillId="4" borderId="10" xfId="0" applyNumberFormat="1" applyFont="1" applyFill="1" applyBorder="1" applyAlignment="1">
      <alignment horizontal="center" vertical="top" wrapText="1"/>
    </xf>
    <xf numFmtId="0" fontId="0" fillId="7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6" borderId="8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11" borderId="11" xfId="1" applyBorder="1" applyAlignment="1">
      <alignment horizontal="center" vertical="center" wrapText="1"/>
    </xf>
    <xf numFmtId="0" fontId="8" fillId="8" borderId="11" xfId="0" applyFont="1" applyFill="1" applyBorder="1" applyAlignment="1">
      <alignment vertical="center" wrapText="1"/>
    </xf>
    <xf numFmtId="0" fontId="0" fillId="12" borderId="10" xfId="0" applyFill="1" applyBorder="1" applyAlignment="1">
      <alignment horizontal="center" vertical="center" wrapText="1"/>
    </xf>
    <xf numFmtId="0" fontId="0" fillId="12" borderId="10" xfId="0" applyFill="1" applyBorder="1" applyAlignment="1">
      <alignment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7" fillId="11" borderId="11" xfId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7" fillId="12" borderId="11" xfId="1" applyFill="1" applyBorder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7" borderId="10" xfId="0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7" fillId="9" borderId="11" xfId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0" borderId="10" xfId="0" applyFill="1" applyBorder="1" applyAlignment="1">
      <alignment horizontal="center" vertical="center" wrapText="1"/>
    </xf>
    <xf numFmtId="0" fontId="0" fillId="21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9" fontId="0" fillId="0" borderId="10" xfId="3" applyFont="1" applyBorder="1" applyAlignment="1">
      <alignment horizontal="center"/>
    </xf>
    <xf numFmtId="0" fontId="0" fillId="20" borderId="10" xfId="0" applyFill="1" applyBorder="1" applyAlignment="1">
      <alignment horizontal="center"/>
    </xf>
    <xf numFmtId="2" fontId="0" fillId="21" borderId="10" xfId="0" applyNumberFormat="1" applyFill="1" applyBorder="1" applyAlignment="1">
      <alignment horizontal="center"/>
    </xf>
    <xf numFmtId="2" fontId="0" fillId="0" borderId="10" xfId="2" applyNumberFormat="1" applyFont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4" fillId="6" borderId="17" xfId="0" applyFont="1" applyFill="1" applyBorder="1" applyAlignment="1">
      <alignment horizontal="right" vertical="center" wrapText="1"/>
    </xf>
    <xf numFmtId="0" fontId="4" fillId="6" borderId="18" xfId="0" applyFont="1" applyFill="1" applyBorder="1" applyAlignment="1">
      <alignment horizontal="right" vertical="center" wrapText="1"/>
    </xf>
    <xf numFmtId="0" fontId="4" fillId="6" borderId="19" xfId="0" applyFont="1" applyFill="1" applyBorder="1" applyAlignment="1">
      <alignment horizontal="right" vertical="center" wrapText="1"/>
    </xf>
    <xf numFmtId="0" fontId="4" fillId="6" borderId="14" xfId="0" applyFont="1" applyFill="1" applyBorder="1" applyAlignment="1">
      <alignment horizontal="right" vertical="center" wrapText="1"/>
    </xf>
    <xf numFmtId="0" fontId="4" fillId="6" borderId="15" xfId="0" applyFont="1" applyFill="1" applyBorder="1" applyAlignment="1">
      <alignment horizontal="right" vertical="center" wrapText="1"/>
    </xf>
    <xf numFmtId="0" fontId="4" fillId="6" borderId="16" xfId="0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</cellXfs>
  <cellStyles count="4">
    <cellStyle name="20% - Énfasis1" xfId="1" builtinId="30"/>
    <cellStyle name="Moneda" xfId="2" builtinId="4"/>
    <cellStyle name="Normal" xfId="0" builtinId="0"/>
    <cellStyle name="Porcentaje" xfId="3" builtinId="5"/>
  </cellStyles>
  <dxfs count="12"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A489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A489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A489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A4894"/>
        </patternFill>
      </fill>
    </dxf>
  </dxfs>
  <tableStyles count="0" defaultTableStyle="TableStyleMedium2" defaultPivotStyle="PivotStyleLight16"/>
  <colors>
    <mruColors>
      <color rgb="FFFA48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>
                <a:solidFill>
                  <a:srgbClr val="FF0000"/>
                </a:solidFill>
              </a:rPr>
              <a:t>Burn</a:t>
            </a:r>
            <a:r>
              <a:rPr lang="es-CO" sz="2000" b="1" baseline="0">
                <a:solidFill>
                  <a:srgbClr val="FF0000"/>
                </a:solidFill>
              </a:rPr>
              <a:t> Down Puntos US</a:t>
            </a:r>
            <a:endParaRPr lang="es-CO" sz="2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5663606022311184"/>
          <c:y val="3.1816727134460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PUNTOS REALIZADOS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Backlog - P-US'!$H$2:$AC$2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'Sprint Backlog - P-US'!$H$5:$AB$5</c:f>
              <c:numCache>
                <c:formatCode>0.0</c:formatCode>
                <c:ptCount val="21"/>
                <c:pt idx="0">
                  <c:v>111.3</c:v>
                </c:pt>
                <c:pt idx="1">
                  <c:v>102.95</c:v>
                </c:pt>
                <c:pt idx="2">
                  <c:v>94.3</c:v>
                </c:pt>
                <c:pt idx="3">
                  <c:v>86.75</c:v>
                </c:pt>
                <c:pt idx="4">
                  <c:v>78.349999999999994</c:v>
                </c:pt>
                <c:pt idx="5">
                  <c:v>72.399999999999991</c:v>
                </c:pt>
                <c:pt idx="6">
                  <c:v>71.899999999999991</c:v>
                </c:pt>
                <c:pt idx="7">
                  <c:v>69.149999999999991</c:v>
                </c:pt>
                <c:pt idx="8">
                  <c:v>63.849999999999994</c:v>
                </c:pt>
                <c:pt idx="9">
                  <c:v>58.3</c:v>
                </c:pt>
                <c:pt idx="10">
                  <c:v>49.3</c:v>
                </c:pt>
                <c:pt idx="11">
                  <c:v>41.55</c:v>
                </c:pt>
                <c:pt idx="12">
                  <c:v>34</c:v>
                </c:pt>
                <c:pt idx="13">
                  <c:v>28.3</c:v>
                </c:pt>
                <c:pt idx="14">
                  <c:v>25.9</c:v>
                </c:pt>
                <c:pt idx="15">
                  <c:v>23.099999999999998</c:v>
                </c:pt>
                <c:pt idx="16">
                  <c:v>18.799999999999997</c:v>
                </c:pt>
                <c:pt idx="17">
                  <c:v>14.099999999999998</c:v>
                </c:pt>
                <c:pt idx="18">
                  <c:v>7.0999999999999979</c:v>
                </c:pt>
                <c:pt idx="19">
                  <c:v>0.39999999999999858</c:v>
                </c:pt>
                <c:pt idx="20">
                  <c:v>-1.4432899320127035E-15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E-4A69-8A18-05DDE7D21A63}"/>
            </c:ext>
          </c:extLst>
        </c:ser>
        <c:ser>
          <c:idx val="0"/>
          <c:order val="1"/>
          <c:tx>
            <c:v>AVANCE ESPERADO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92200746015599E-2"/>
                  <c:y val="3.94112500643304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BB-4367-913F-C8D58D02B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Backlog - P-US'!$H$2:$AC$2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'Sprint Backlog - P-US'!$H$4:$AB$4</c:f>
              <c:numCache>
                <c:formatCode>0.0</c:formatCode>
                <c:ptCount val="21"/>
                <c:pt idx="0">
                  <c:v>121</c:v>
                </c:pt>
                <c:pt idx="1">
                  <c:v>114.95</c:v>
                </c:pt>
                <c:pt idx="2">
                  <c:v>108.9</c:v>
                </c:pt>
                <c:pt idx="3">
                  <c:v>102.85000000000001</c:v>
                </c:pt>
                <c:pt idx="4">
                  <c:v>96.800000000000011</c:v>
                </c:pt>
                <c:pt idx="5">
                  <c:v>90.750000000000014</c:v>
                </c:pt>
                <c:pt idx="6">
                  <c:v>84.700000000000017</c:v>
                </c:pt>
                <c:pt idx="7">
                  <c:v>78.65000000000002</c:v>
                </c:pt>
                <c:pt idx="8">
                  <c:v>72.600000000000023</c:v>
                </c:pt>
                <c:pt idx="9">
                  <c:v>66.550000000000026</c:v>
                </c:pt>
                <c:pt idx="10">
                  <c:v>60.500000000000028</c:v>
                </c:pt>
                <c:pt idx="11">
                  <c:v>54.450000000000031</c:v>
                </c:pt>
                <c:pt idx="12">
                  <c:v>48.400000000000034</c:v>
                </c:pt>
                <c:pt idx="13">
                  <c:v>42.350000000000037</c:v>
                </c:pt>
                <c:pt idx="14">
                  <c:v>36.30000000000004</c:v>
                </c:pt>
                <c:pt idx="15">
                  <c:v>30.250000000000039</c:v>
                </c:pt>
                <c:pt idx="16">
                  <c:v>24.200000000000038</c:v>
                </c:pt>
                <c:pt idx="17">
                  <c:v>18.150000000000038</c:v>
                </c:pt>
                <c:pt idx="18">
                  <c:v>12.100000000000037</c:v>
                </c:pt>
                <c:pt idx="19">
                  <c:v>6.0500000000000371</c:v>
                </c:pt>
                <c:pt idx="20">
                  <c:v>3.730349362740526E-14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E-4A69-8A18-05DDE7D2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2144672"/>
        <c:axId val="1772145920"/>
      </c:lineChart>
      <c:catAx>
        <c:axId val="17721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2145920"/>
        <c:crosses val="autoZero"/>
        <c:auto val="1"/>
        <c:lblAlgn val="ctr"/>
        <c:lblOffset val="100"/>
        <c:noMultiLvlLbl val="0"/>
      </c:catAx>
      <c:valAx>
        <c:axId val="17721459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214467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>
                <a:solidFill>
                  <a:srgbClr val="FF0000"/>
                </a:solidFill>
              </a:rPr>
              <a:t>Burn</a:t>
            </a:r>
            <a:r>
              <a:rPr lang="es-CO" sz="2000" b="1" baseline="0">
                <a:solidFill>
                  <a:srgbClr val="FF0000"/>
                </a:solidFill>
              </a:rPr>
              <a:t> Down horas invertidas en el SPRINT</a:t>
            </a:r>
            <a:endParaRPr lang="es-CO" sz="2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7133864159235987"/>
          <c:y val="3.1816727134460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TIEMPO PROYECTADO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Backlog - Tiempo'!$H$2:$AB$2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'Sprint Backlog - Tiempo'!$H$4:$AB$4</c:f>
              <c:numCache>
                <c:formatCode>0.0</c:formatCode>
                <c:ptCount val="21"/>
                <c:pt idx="0">
                  <c:v>659</c:v>
                </c:pt>
                <c:pt idx="1">
                  <c:v>626.04999999999995</c:v>
                </c:pt>
                <c:pt idx="2">
                  <c:v>593.09999999999991</c:v>
                </c:pt>
                <c:pt idx="3">
                  <c:v>560.14999999999986</c:v>
                </c:pt>
                <c:pt idx="4">
                  <c:v>527.19999999999982</c:v>
                </c:pt>
                <c:pt idx="5">
                  <c:v>494.24999999999983</c:v>
                </c:pt>
                <c:pt idx="6">
                  <c:v>461.29999999999984</c:v>
                </c:pt>
                <c:pt idx="7">
                  <c:v>428.34999999999985</c:v>
                </c:pt>
                <c:pt idx="8">
                  <c:v>395.39999999999986</c:v>
                </c:pt>
                <c:pt idx="9">
                  <c:v>362.44999999999987</c:v>
                </c:pt>
                <c:pt idx="10">
                  <c:v>329.49999999999989</c:v>
                </c:pt>
                <c:pt idx="11">
                  <c:v>296.5499999999999</c:v>
                </c:pt>
                <c:pt idx="12">
                  <c:v>263.59999999999991</c:v>
                </c:pt>
                <c:pt idx="13">
                  <c:v>230.64999999999992</c:v>
                </c:pt>
                <c:pt idx="14">
                  <c:v>197.69999999999993</c:v>
                </c:pt>
                <c:pt idx="15">
                  <c:v>164.74999999999994</c:v>
                </c:pt>
                <c:pt idx="16">
                  <c:v>131.79999999999995</c:v>
                </c:pt>
                <c:pt idx="17">
                  <c:v>98.849999999999952</c:v>
                </c:pt>
                <c:pt idx="18">
                  <c:v>65.899999999999949</c:v>
                </c:pt>
                <c:pt idx="19">
                  <c:v>32.949999999999946</c:v>
                </c:pt>
                <c:pt idx="20">
                  <c:v>-5.6843418860808015E-14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D-4DB0-A351-883FB32FE903}"/>
            </c:ext>
          </c:extLst>
        </c:ser>
        <c:ser>
          <c:idx val="0"/>
          <c:order val="1"/>
          <c:tx>
            <c:v>TIEMPO INVERTIDO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'Sprint Backlog - Tiempo'!$H$2:$AB$2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'Sprint Backlog - Tiempo'!$H$5:$AB$5</c:f>
              <c:numCache>
                <c:formatCode>0.0</c:formatCode>
                <c:ptCount val="21"/>
                <c:pt idx="0">
                  <c:v>574</c:v>
                </c:pt>
                <c:pt idx="1">
                  <c:v>530</c:v>
                </c:pt>
                <c:pt idx="2">
                  <c:v>488</c:v>
                </c:pt>
                <c:pt idx="3">
                  <c:v>444</c:v>
                </c:pt>
                <c:pt idx="4">
                  <c:v>397</c:v>
                </c:pt>
                <c:pt idx="5">
                  <c:v>367</c:v>
                </c:pt>
                <c:pt idx="6">
                  <c:v>361</c:v>
                </c:pt>
                <c:pt idx="7">
                  <c:v>345</c:v>
                </c:pt>
                <c:pt idx="8">
                  <c:v>323</c:v>
                </c:pt>
                <c:pt idx="9">
                  <c:v>299</c:v>
                </c:pt>
                <c:pt idx="10">
                  <c:v>267</c:v>
                </c:pt>
                <c:pt idx="11">
                  <c:v>226</c:v>
                </c:pt>
                <c:pt idx="12">
                  <c:v>177</c:v>
                </c:pt>
                <c:pt idx="13">
                  <c:v>152</c:v>
                </c:pt>
                <c:pt idx="14">
                  <c:v>142</c:v>
                </c:pt>
                <c:pt idx="15">
                  <c:v>128</c:v>
                </c:pt>
                <c:pt idx="16">
                  <c:v>102</c:v>
                </c:pt>
                <c:pt idx="17">
                  <c:v>72</c:v>
                </c:pt>
                <c:pt idx="18">
                  <c:v>38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D-4DB0-A351-883FB32FE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2144672"/>
        <c:axId val="1772145920"/>
      </c:lineChart>
      <c:catAx>
        <c:axId val="17721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2145920"/>
        <c:crosses val="autoZero"/>
        <c:auto val="1"/>
        <c:lblAlgn val="ctr"/>
        <c:lblOffset val="100"/>
        <c:noMultiLvlLbl val="0"/>
      </c:catAx>
      <c:valAx>
        <c:axId val="17721459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214467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447674</xdr:colOff>
      <xdr:row>2</xdr:row>
      <xdr:rowOff>66675</xdr:rowOff>
    </xdr:from>
    <xdr:to>
      <xdr:col>41</xdr:col>
      <xdr:colOff>552449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0E3A59-A76C-4FE5-B45F-E4AD0B7EE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28575</xdr:colOff>
      <xdr:row>7</xdr:row>
      <xdr:rowOff>28574</xdr:rowOff>
    </xdr:from>
    <xdr:to>
      <xdr:col>41</xdr:col>
      <xdr:colOff>28575</xdr:colOff>
      <xdr:row>30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C2571D-9470-4C63-A963-ECE20D9E7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" refreshedDate="46094.889666087962" createdVersion="8" refreshedVersion="8" minRefreshableVersion="3" recordCount="649" xr:uid="{D7B7F9B8-0967-42DB-A437-1D2B48AE9D2C}">
  <cacheSource type="worksheet">
    <worksheetSource ref="B1:D1048576" sheet="Tabla Notas"/>
  </cacheSource>
  <cacheFields count="3">
    <cacheField name="ASIGNADO A" numFmtId="0">
      <sharedItems containsBlank="1" count="10">
        <s v="Richard"/>
        <s v="Juanpa"/>
        <s v="David"/>
        <s v="Cifuentes"/>
        <s v="Ordo"/>
        <s v="Matías"/>
        <s v="Mora"/>
        <s v="Simón"/>
        <s v="Sastoque"/>
        <m/>
      </sharedItems>
    </cacheField>
    <cacheField name="P-US ASIGNADOS" numFmtId="0">
      <sharedItems containsString="0" containsBlank="1" containsNumber="1" containsInteger="1" minValue="1" maxValue="3"/>
    </cacheField>
    <cacheField name="P-US REALIZADOS" numFmtId="0">
      <sharedItems containsString="0" containsBlank="1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m/>
  </r>
  <r>
    <x v="1"/>
    <n v="1"/>
    <n v="1"/>
  </r>
  <r>
    <x v="0"/>
    <n v="1"/>
    <n v="1"/>
  </r>
  <r>
    <x v="1"/>
    <n v="1"/>
    <n v="1"/>
  </r>
  <r>
    <x v="0"/>
    <m/>
    <m/>
  </r>
  <r>
    <x v="0"/>
    <n v="2"/>
    <n v="2"/>
  </r>
  <r>
    <x v="1"/>
    <n v="2"/>
    <n v="1.9999999999999998"/>
  </r>
  <r>
    <x v="0"/>
    <n v="1"/>
    <n v="1"/>
  </r>
  <r>
    <x v="0"/>
    <m/>
    <m/>
  </r>
  <r>
    <x v="0"/>
    <n v="2"/>
    <n v="2"/>
  </r>
  <r>
    <x v="2"/>
    <n v="2"/>
    <n v="2"/>
  </r>
  <r>
    <x v="3"/>
    <n v="1"/>
    <n v="1"/>
  </r>
  <r>
    <x v="0"/>
    <m/>
    <m/>
  </r>
  <r>
    <x v="0"/>
    <n v="2"/>
    <n v="2"/>
  </r>
  <r>
    <x v="1"/>
    <n v="2"/>
    <n v="1.9999999999999998"/>
  </r>
  <r>
    <x v="1"/>
    <n v="1"/>
    <n v="1"/>
  </r>
  <r>
    <x v="4"/>
    <m/>
    <m/>
  </r>
  <r>
    <x v="4"/>
    <n v="1"/>
    <n v="1"/>
  </r>
  <r>
    <x v="4"/>
    <n v="1"/>
    <n v="1"/>
  </r>
  <r>
    <x v="2"/>
    <n v="1"/>
    <n v="1"/>
  </r>
  <r>
    <x v="4"/>
    <m/>
    <m/>
  </r>
  <r>
    <x v="5"/>
    <n v="1"/>
    <n v="1"/>
  </r>
  <r>
    <x v="4"/>
    <n v="1"/>
    <n v="1"/>
  </r>
  <r>
    <x v="4"/>
    <n v="1"/>
    <n v="1"/>
  </r>
  <r>
    <x v="4"/>
    <m/>
    <m/>
  </r>
  <r>
    <x v="6"/>
    <n v="2"/>
    <n v="1.9999999999999998"/>
  </r>
  <r>
    <x v="6"/>
    <n v="2"/>
    <n v="2"/>
  </r>
  <r>
    <x v="7"/>
    <n v="1"/>
    <n v="1"/>
  </r>
  <r>
    <x v="6"/>
    <m/>
    <m/>
  </r>
  <r>
    <x v="4"/>
    <n v="2"/>
    <n v="2"/>
  </r>
  <r>
    <x v="4"/>
    <n v="2"/>
    <n v="2"/>
  </r>
  <r>
    <x v="6"/>
    <n v="1"/>
    <n v="1"/>
  </r>
  <r>
    <x v="2"/>
    <n v="1"/>
    <n v="1"/>
  </r>
  <r>
    <x v="4"/>
    <m/>
    <m/>
  </r>
  <r>
    <x v="4"/>
    <n v="1"/>
    <n v="1"/>
  </r>
  <r>
    <x v="4"/>
    <n v="1"/>
    <n v="1"/>
  </r>
  <r>
    <x v="3"/>
    <n v="1"/>
    <n v="1"/>
  </r>
  <r>
    <x v="4"/>
    <m/>
    <m/>
  </r>
  <r>
    <x v="1"/>
    <n v="2"/>
    <n v="2"/>
  </r>
  <r>
    <x v="4"/>
    <n v="2"/>
    <n v="2"/>
  </r>
  <r>
    <x v="8"/>
    <n v="1"/>
    <n v="1"/>
  </r>
  <r>
    <x v="5"/>
    <m/>
    <m/>
  </r>
  <r>
    <x v="8"/>
    <n v="1"/>
    <n v="1"/>
  </r>
  <r>
    <x v="8"/>
    <n v="1"/>
    <n v="1"/>
  </r>
  <r>
    <x v="8"/>
    <n v="1"/>
    <n v="1"/>
  </r>
  <r>
    <x v="4"/>
    <m/>
    <m/>
  </r>
  <r>
    <x v="2"/>
    <n v="3"/>
    <n v="3"/>
  </r>
  <r>
    <x v="0"/>
    <n v="2"/>
    <n v="2"/>
  </r>
  <r>
    <x v="6"/>
    <n v="2"/>
    <n v="2"/>
  </r>
  <r>
    <x v="6"/>
    <n v="1"/>
    <n v="1"/>
  </r>
  <r>
    <x v="5"/>
    <m/>
    <m/>
  </r>
  <r>
    <x v="2"/>
    <n v="1"/>
    <n v="1"/>
  </r>
  <r>
    <x v="3"/>
    <n v="1"/>
    <n v="1"/>
  </r>
  <r>
    <x v="5"/>
    <m/>
    <m/>
  </r>
  <r>
    <x v="8"/>
    <n v="1"/>
    <n v="1"/>
  </r>
  <r>
    <x v="8"/>
    <n v="1"/>
    <n v="1"/>
  </r>
  <r>
    <x v="4"/>
    <m/>
    <m/>
  </r>
  <r>
    <x v="2"/>
    <n v="1"/>
    <n v="1"/>
  </r>
  <r>
    <x v="0"/>
    <n v="1"/>
    <n v="1"/>
  </r>
  <r>
    <x v="1"/>
    <n v="1"/>
    <n v="1"/>
  </r>
  <r>
    <x v="6"/>
    <m/>
    <m/>
  </r>
  <r>
    <x v="4"/>
    <n v="1"/>
    <n v="1"/>
  </r>
  <r>
    <x v="4"/>
    <n v="1"/>
    <n v="1"/>
  </r>
  <r>
    <x v="6"/>
    <n v="1"/>
    <n v="1"/>
  </r>
  <r>
    <x v="4"/>
    <m/>
    <m/>
  </r>
  <r>
    <x v="2"/>
    <n v="2"/>
    <n v="2"/>
  </r>
  <r>
    <x v="2"/>
    <n v="2"/>
    <n v="2"/>
  </r>
  <r>
    <x v="1"/>
    <n v="1"/>
    <n v="1"/>
  </r>
  <r>
    <x v="6"/>
    <m/>
    <m/>
  </r>
  <r>
    <x v="5"/>
    <n v="1"/>
    <n v="1"/>
  </r>
  <r>
    <x v="5"/>
    <n v="1"/>
    <n v="1"/>
  </r>
  <r>
    <x v="8"/>
    <n v="1"/>
    <n v="1"/>
  </r>
  <r>
    <x v="6"/>
    <m/>
    <m/>
  </r>
  <r>
    <x v="7"/>
    <n v="2"/>
    <n v="2"/>
  </r>
  <r>
    <x v="6"/>
    <n v="2"/>
    <n v="2"/>
  </r>
  <r>
    <x v="2"/>
    <n v="1"/>
    <n v="1"/>
  </r>
  <r>
    <x v="0"/>
    <m/>
    <m/>
  </r>
  <r>
    <x v="7"/>
    <n v="1"/>
    <n v="1"/>
  </r>
  <r>
    <x v="7"/>
    <n v="1"/>
    <n v="1"/>
  </r>
  <r>
    <x v="3"/>
    <n v="1"/>
    <n v="1"/>
  </r>
  <r>
    <x v="0"/>
    <m/>
    <m/>
  </r>
  <r>
    <x v="7"/>
    <n v="1"/>
    <n v="1"/>
  </r>
  <r>
    <x v="6"/>
    <n v="1"/>
    <n v="1"/>
  </r>
  <r>
    <x v="2"/>
    <n v="1"/>
    <n v="1"/>
  </r>
  <r>
    <x v="1"/>
    <m/>
    <m/>
  </r>
  <r>
    <x v="1"/>
    <n v="1"/>
    <n v="1"/>
  </r>
  <r>
    <x v="8"/>
    <n v="1"/>
    <n v="1"/>
  </r>
  <r>
    <x v="1"/>
    <m/>
    <m/>
  </r>
  <r>
    <x v="3"/>
    <n v="1"/>
    <n v="1"/>
  </r>
  <r>
    <x v="3"/>
    <n v="1"/>
    <n v="1"/>
  </r>
  <r>
    <x v="8"/>
    <n v="1"/>
    <n v="1"/>
  </r>
  <r>
    <x v="2"/>
    <m/>
    <m/>
  </r>
  <r>
    <x v="0"/>
    <n v="2"/>
    <n v="2"/>
  </r>
  <r>
    <x v="0"/>
    <n v="2"/>
    <n v="2"/>
  </r>
  <r>
    <x v="6"/>
    <n v="1"/>
    <n v="1"/>
  </r>
  <r>
    <x v="0"/>
    <m/>
    <m/>
  </r>
  <r>
    <x v="7"/>
    <n v="1"/>
    <n v="1"/>
  </r>
  <r>
    <x v="4"/>
    <n v="1"/>
    <n v="1"/>
  </r>
  <r>
    <x v="4"/>
    <m/>
    <m/>
  </r>
  <r>
    <x v="5"/>
    <n v="1"/>
    <n v="1"/>
  </r>
  <r>
    <x v="1"/>
    <n v="1"/>
    <n v="1"/>
  </r>
  <r>
    <x v="5"/>
    <n v="1"/>
    <n v="1"/>
  </r>
  <r>
    <x v="5"/>
    <m/>
    <m/>
  </r>
  <r>
    <x v="5"/>
    <n v="2"/>
    <n v="2"/>
  </r>
  <r>
    <x v="1"/>
    <n v="2"/>
    <n v="2"/>
  </r>
  <r>
    <x v="8"/>
    <n v="1"/>
    <n v="1"/>
  </r>
  <r>
    <x v="1"/>
    <m/>
    <m/>
  </r>
  <r>
    <x v="5"/>
    <n v="2"/>
    <n v="2"/>
  </r>
  <r>
    <x v="5"/>
    <n v="2"/>
    <n v="2"/>
  </r>
  <r>
    <x v="3"/>
    <n v="1"/>
    <n v="1"/>
  </r>
  <r>
    <x v="1"/>
    <m/>
    <m/>
  </r>
  <r>
    <x v="6"/>
    <n v="3"/>
    <n v="3"/>
  </r>
  <r>
    <x v="7"/>
    <n v="3"/>
    <n v="3"/>
  </r>
  <r>
    <x v="3"/>
    <n v="2"/>
    <n v="2"/>
  </r>
  <r>
    <x v="1"/>
    <m/>
    <m/>
  </r>
  <r>
    <x v="7"/>
    <n v="2"/>
    <n v="2"/>
  </r>
  <r>
    <x v="5"/>
    <n v="2"/>
    <n v="2"/>
  </r>
  <r>
    <x v="3"/>
    <n v="1"/>
    <n v="1"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  <r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FB48B-45A1-4C39-A10A-3AAA1A14330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I14" firstHeaderRow="0" firstDataRow="1" firstDataCol="1"/>
  <pivotFields count="3">
    <pivotField axis="axisRow" showAll="0">
      <items count="11">
        <item x="3"/>
        <item x="2"/>
        <item x="1"/>
        <item x="5"/>
        <item x="6"/>
        <item x="4"/>
        <item x="0"/>
        <item x="8"/>
        <item x="7"/>
        <item x="9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-US ASIGNADOS" fld="1" baseField="0" baseItem="0"/>
    <dataField name="Suma de P-US REALIZAD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8E9B-0C3F-4528-8A3E-E63F1134C42C}">
  <dimension ref="A1:AC649"/>
  <sheetViews>
    <sheetView topLeftCell="N5" zoomScaleNormal="100" workbookViewId="0">
      <selection activeCell="C11" sqref="C11"/>
    </sheetView>
  </sheetViews>
  <sheetFormatPr baseColWidth="10" defaultColWidth="11.5546875" defaultRowHeight="14.4" x14ac:dyDescent="0.3"/>
  <cols>
    <col min="1" max="1" width="8.88671875" customWidth="1"/>
    <col min="2" max="2" width="9.33203125" customWidth="1"/>
    <col min="3" max="3" width="55.109375" customWidth="1"/>
    <col min="4" max="4" width="13.44140625" customWidth="1"/>
    <col min="6" max="6" width="13.33203125" customWidth="1"/>
    <col min="7" max="7" width="13.109375" customWidth="1"/>
    <col min="8" max="28" width="5.6640625" style="1" customWidth="1"/>
    <col min="29" max="29" width="10.33203125" style="1" bestFit="1" customWidth="1"/>
  </cols>
  <sheetData>
    <row r="1" spans="1:29" ht="18" x14ac:dyDescent="0.3">
      <c r="A1" s="66" t="s">
        <v>0</v>
      </c>
      <c r="B1" s="67"/>
      <c r="C1" s="67"/>
      <c r="D1" s="67"/>
      <c r="E1" s="67"/>
      <c r="F1" s="67"/>
      <c r="G1" s="68"/>
      <c r="H1" s="59" t="s">
        <v>1</v>
      </c>
      <c r="I1" s="59"/>
      <c r="J1" s="59"/>
      <c r="K1" s="59"/>
      <c r="L1" s="59"/>
      <c r="M1" s="59"/>
      <c r="N1" s="59"/>
      <c r="O1" s="58" t="s">
        <v>2</v>
      </c>
      <c r="P1" s="58"/>
      <c r="Q1" s="58"/>
      <c r="R1" s="58"/>
      <c r="S1" s="58"/>
      <c r="T1" s="58"/>
      <c r="U1" s="58"/>
      <c r="V1" s="59" t="s">
        <v>3</v>
      </c>
      <c r="W1" s="59"/>
      <c r="X1" s="59"/>
      <c r="Y1" s="59"/>
      <c r="Z1" s="59"/>
      <c r="AA1" s="59"/>
      <c r="AB1" s="59"/>
      <c r="AC1" s="58" t="s">
        <v>4</v>
      </c>
    </row>
    <row r="2" spans="1:29" ht="14.4" customHeight="1" x14ac:dyDescent="0.3">
      <c r="A2" s="69" t="s">
        <v>5</v>
      </c>
      <c r="B2" s="69" t="s">
        <v>6</v>
      </c>
      <c r="C2" s="69" t="s">
        <v>7</v>
      </c>
      <c r="D2" s="69" t="s">
        <v>8</v>
      </c>
      <c r="E2" s="69" t="s">
        <v>9</v>
      </c>
      <c r="F2" s="71" t="s">
        <v>10</v>
      </c>
      <c r="G2" s="71" t="s">
        <v>11</v>
      </c>
      <c r="H2" s="5">
        <v>1</v>
      </c>
      <c r="I2" s="5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5">
        <v>15</v>
      </c>
      <c r="W2" s="5">
        <v>16</v>
      </c>
      <c r="X2" s="5">
        <v>17</v>
      </c>
      <c r="Y2" s="5">
        <v>18</v>
      </c>
      <c r="Z2" s="5">
        <v>19</v>
      </c>
      <c r="AA2" s="5">
        <v>20</v>
      </c>
      <c r="AB2" s="5">
        <v>21</v>
      </c>
      <c r="AC2" s="58"/>
    </row>
    <row r="3" spans="1:29" ht="27" customHeight="1" x14ac:dyDescent="0.3">
      <c r="A3" s="70"/>
      <c r="B3" s="70"/>
      <c r="C3" s="70"/>
      <c r="D3" s="70"/>
      <c r="E3" s="70"/>
      <c r="F3" s="72"/>
      <c r="G3" s="72"/>
      <c r="H3" s="7">
        <v>46064</v>
      </c>
      <c r="I3" s="7">
        <v>46065</v>
      </c>
      <c r="J3" s="7">
        <v>46066</v>
      </c>
      <c r="K3" s="7">
        <v>46067</v>
      </c>
      <c r="L3" s="7">
        <v>46068</v>
      </c>
      <c r="M3" s="7">
        <v>46069</v>
      </c>
      <c r="N3" s="7">
        <v>46070</v>
      </c>
      <c r="O3" s="8">
        <v>46071</v>
      </c>
      <c r="P3" s="8">
        <v>46072</v>
      </c>
      <c r="Q3" s="8">
        <v>46073</v>
      </c>
      <c r="R3" s="8">
        <v>46074</v>
      </c>
      <c r="S3" s="8">
        <v>46075</v>
      </c>
      <c r="T3" s="8">
        <v>46076</v>
      </c>
      <c r="U3" s="8">
        <v>46077</v>
      </c>
      <c r="V3" s="7">
        <v>46078</v>
      </c>
      <c r="W3" s="7">
        <v>46079</v>
      </c>
      <c r="X3" s="7">
        <v>46080</v>
      </c>
      <c r="Y3" s="7">
        <v>46081</v>
      </c>
      <c r="Z3" s="7">
        <v>46082</v>
      </c>
      <c r="AA3" s="7">
        <v>46083</v>
      </c>
      <c r="AB3" s="7">
        <v>46084</v>
      </c>
      <c r="AC3" s="8">
        <v>46085</v>
      </c>
    </row>
    <row r="4" spans="1:29" ht="15" customHeight="1" x14ac:dyDescent="0.3">
      <c r="A4" s="63" t="s">
        <v>12</v>
      </c>
      <c r="B4" s="64"/>
      <c r="C4" s="64"/>
      <c r="D4" s="64"/>
      <c r="E4" s="65"/>
      <c r="F4" s="9">
        <f>SUM(F7:F10000)</f>
        <v>121</v>
      </c>
      <c r="G4" s="10"/>
      <c r="H4" s="11">
        <f>F4</f>
        <v>121</v>
      </c>
      <c r="I4" s="11">
        <f>H4-($F$4/$B$5)</f>
        <v>114.95</v>
      </c>
      <c r="J4" s="11">
        <f t="shared" ref="J4:AB4" si="0">I4-($F$4/$B$5)</f>
        <v>108.9</v>
      </c>
      <c r="K4" s="11">
        <f t="shared" si="0"/>
        <v>102.85000000000001</v>
      </c>
      <c r="L4" s="11">
        <f t="shared" si="0"/>
        <v>96.800000000000011</v>
      </c>
      <c r="M4" s="11">
        <f t="shared" si="0"/>
        <v>90.750000000000014</v>
      </c>
      <c r="N4" s="11">
        <f t="shared" si="0"/>
        <v>84.700000000000017</v>
      </c>
      <c r="O4" s="11">
        <f t="shared" si="0"/>
        <v>78.65000000000002</v>
      </c>
      <c r="P4" s="11">
        <f t="shared" si="0"/>
        <v>72.600000000000023</v>
      </c>
      <c r="Q4" s="11">
        <f t="shared" si="0"/>
        <v>66.550000000000026</v>
      </c>
      <c r="R4" s="11">
        <f t="shared" si="0"/>
        <v>60.500000000000028</v>
      </c>
      <c r="S4" s="11">
        <f t="shared" si="0"/>
        <v>54.450000000000031</v>
      </c>
      <c r="T4" s="11">
        <f t="shared" si="0"/>
        <v>48.400000000000034</v>
      </c>
      <c r="U4" s="11">
        <f t="shared" si="0"/>
        <v>42.350000000000037</v>
      </c>
      <c r="V4" s="11">
        <f t="shared" si="0"/>
        <v>36.30000000000004</v>
      </c>
      <c r="W4" s="11">
        <f t="shared" si="0"/>
        <v>30.250000000000039</v>
      </c>
      <c r="X4" s="11">
        <f t="shared" si="0"/>
        <v>24.200000000000038</v>
      </c>
      <c r="Y4" s="11">
        <f t="shared" si="0"/>
        <v>18.150000000000038</v>
      </c>
      <c r="Z4" s="11">
        <f t="shared" si="0"/>
        <v>12.100000000000037</v>
      </c>
      <c r="AA4" s="11">
        <f t="shared" si="0"/>
        <v>6.0500000000000371</v>
      </c>
      <c r="AB4" s="11">
        <f t="shared" si="0"/>
        <v>3.730349362740526E-14</v>
      </c>
      <c r="AC4" s="12"/>
    </row>
    <row r="5" spans="1:29" ht="15" customHeight="1" x14ac:dyDescent="0.3">
      <c r="A5" s="10"/>
      <c r="B5" s="10">
        <v>20</v>
      </c>
      <c r="C5" s="10" t="s">
        <v>13</v>
      </c>
      <c r="D5" s="10"/>
      <c r="E5" s="10"/>
      <c r="F5" s="25" t="s">
        <v>14</v>
      </c>
      <c r="G5" s="11">
        <f>SUM(G7:G10000)</f>
        <v>121</v>
      </c>
      <c r="H5" s="13">
        <f>F4-H6</f>
        <v>111.3</v>
      </c>
      <c r="I5" s="13">
        <f>H5-I6</f>
        <v>102.95</v>
      </c>
      <c r="J5" s="13">
        <f t="shared" ref="J5:AB5" si="1">I5-J6</f>
        <v>94.3</v>
      </c>
      <c r="K5" s="13">
        <f t="shared" si="1"/>
        <v>86.75</v>
      </c>
      <c r="L5" s="13">
        <f t="shared" si="1"/>
        <v>78.349999999999994</v>
      </c>
      <c r="M5" s="13">
        <f t="shared" si="1"/>
        <v>72.399999999999991</v>
      </c>
      <c r="N5" s="13">
        <f t="shared" si="1"/>
        <v>71.899999999999991</v>
      </c>
      <c r="O5" s="13">
        <f t="shared" si="1"/>
        <v>69.149999999999991</v>
      </c>
      <c r="P5" s="13">
        <f t="shared" si="1"/>
        <v>63.849999999999994</v>
      </c>
      <c r="Q5" s="13">
        <f t="shared" si="1"/>
        <v>58.3</v>
      </c>
      <c r="R5" s="13">
        <f t="shared" si="1"/>
        <v>49.3</v>
      </c>
      <c r="S5" s="13">
        <f t="shared" si="1"/>
        <v>41.55</v>
      </c>
      <c r="T5" s="13">
        <f t="shared" si="1"/>
        <v>34</v>
      </c>
      <c r="U5" s="13">
        <f t="shared" si="1"/>
        <v>28.3</v>
      </c>
      <c r="V5" s="13">
        <f t="shared" si="1"/>
        <v>25.9</v>
      </c>
      <c r="W5" s="13">
        <f t="shared" si="1"/>
        <v>23.099999999999998</v>
      </c>
      <c r="X5" s="13">
        <f t="shared" si="1"/>
        <v>18.799999999999997</v>
      </c>
      <c r="Y5" s="13">
        <f t="shared" si="1"/>
        <v>14.099999999999998</v>
      </c>
      <c r="Z5" s="13">
        <f t="shared" si="1"/>
        <v>7.0999999999999979</v>
      </c>
      <c r="AA5" s="13">
        <f t="shared" si="1"/>
        <v>0.39999999999999858</v>
      </c>
      <c r="AB5" s="13">
        <f t="shared" si="1"/>
        <v>-1.4432899320127035E-15</v>
      </c>
      <c r="AC5" s="14"/>
    </row>
    <row r="6" spans="1:29" ht="14.4" customHeight="1" x14ac:dyDescent="0.3">
      <c r="A6" s="60" t="s">
        <v>15</v>
      </c>
      <c r="B6" s="61"/>
      <c r="C6" s="61"/>
      <c r="D6" s="61"/>
      <c r="E6" s="62"/>
      <c r="F6" s="11"/>
      <c r="G6" s="11"/>
      <c r="H6" s="13">
        <f>SUM(H7:H10000)</f>
        <v>9.6999999999999993</v>
      </c>
      <c r="I6" s="13">
        <f t="shared" ref="I6:AB6" si="2">SUM(I7:I10000)</f>
        <v>8.35</v>
      </c>
      <c r="J6" s="13">
        <f t="shared" si="2"/>
        <v>8.65</v>
      </c>
      <c r="K6" s="13">
        <f t="shared" si="2"/>
        <v>7.55</v>
      </c>
      <c r="L6" s="13">
        <f t="shared" si="2"/>
        <v>8.4</v>
      </c>
      <c r="M6" s="13">
        <f t="shared" si="2"/>
        <v>5.9499999999999993</v>
      </c>
      <c r="N6" s="13">
        <f t="shared" si="2"/>
        <v>0.5</v>
      </c>
      <c r="O6" s="13">
        <f t="shared" si="2"/>
        <v>2.7499999999999996</v>
      </c>
      <c r="P6" s="13">
        <f t="shared" si="2"/>
        <v>5.3</v>
      </c>
      <c r="Q6" s="13">
        <f t="shared" si="2"/>
        <v>5.55</v>
      </c>
      <c r="R6" s="13">
        <f t="shared" si="2"/>
        <v>9</v>
      </c>
      <c r="S6" s="13">
        <f t="shared" si="2"/>
        <v>7.75</v>
      </c>
      <c r="T6" s="13">
        <f t="shared" si="2"/>
        <v>7.55</v>
      </c>
      <c r="U6" s="13">
        <f t="shared" si="2"/>
        <v>5.6999999999999993</v>
      </c>
      <c r="V6" s="13">
        <f t="shared" si="2"/>
        <v>2.4000000000000004</v>
      </c>
      <c r="W6" s="13">
        <f t="shared" si="2"/>
        <v>2.8</v>
      </c>
      <c r="X6" s="13">
        <f t="shared" si="2"/>
        <v>4.3</v>
      </c>
      <c r="Y6" s="13">
        <f t="shared" si="2"/>
        <v>4.7</v>
      </c>
      <c r="Z6" s="13">
        <f t="shared" si="2"/>
        <v>7</v>
      </c>
      <c r="AA6" s="13">
        <f t="shared" si="2"/>
        <v>6.6999999999999993</v>
      </c>
      <c r="AB6" s="13">
        <f t="shared" si="2"/>
        <v>0.4</v>
      </c>
      <c r="AC6" s="14"/>
    </row>
    <row r="7" spans="1:29" x14ac:dyDescent="0.3">
      <c r="A7" s="36" t="s">
        <v>16</v>
      </c>
      <c r="B7" s="37" t="s">
        <v>17</v>
      </c>
      <c r="C7" s="32" t="s">
        <v>18</v>
      </c>
      <c r="D7" s="33" t="s">
        <v>19</v>
      </c>
      <c r="E7" s="16" t="s">
        <v>20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6"/>
    </row>
    <row r="8" spans="1:29" ht="28.8" x14ac:dyDescent="0.3">
      <c r="A8" s="30"/>
      <c r="B8" s="30" t="s">
        <v>21</v>
      </c>
      <c r="C8" s="39" t="s">
        <v>22</v>
      </c>
      <c r="D8" s="19" t="s">
        <v>23</v>
      </c>
      <c r="E8" s="21" t="s">
        <v>20</v>
      </c>
      <c r="F8" s="21">
        <v>1</v>
      </c>
      <c r="G8" s="21">
        <f>SUM(H8:AB8)</f>
        <v>1</v>
      </c>
      <c r="H8" s="21">
        <v>1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2"/>
    </row>
    <row r="9" spans="1:29" ht="28.8" x14ac:dyDescent="0.3">
      <c r="A9" s="31"/>
      <c r="B9" s="31" t="s">
        <v>24</v>
      </c>
      <c r="C9" s="38" t="s">
        <v>25</v>
      </c>
      <c r="D9" s="33" t="s">
        <v>19</v>
      </c>
      <c r="E9" s="23" t="s">
        <v>20</v>
      </c>
      <c r="F9" s="23">
        <v>1</v>
      </c>
      <c r="G9" s="23">
        <f t="shared" ref="G9:G72" si="3">SUM(H9:AB9)</f>
        <v>1</v>
      </c>
      <c r="H9" s="23">
        <v>0</v>
      </c>
      <c r="I9" s="23">
        <v>0</v>
      </c>
      <c r="J9" s="23">
        <v>0</v>
      </c>
      <c r="K9" s="23">
        <v>0.5</v>
      </c>
      <c r="L9" s="23">
        <v>0.5</v>
      </c>
      <c r="M9" s="23">
        <v>0</v>
      </c>
      <c r="N9" s="23">
        <v>0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2"/>
    </row>
    <row r="10" spans="1:29" ht="28.8" x14ac:dyDescent="0.3">
      <c r="A10" s="30"/>
      <c r="B10" s="30" t="s">
        <v>26</v>
      </c>
      <c r="C10" s="39" t="s">
        <v>27</v>
      </c>
      <c r="D10" s="19" t="s">
        <v>23</v>
      </c>
      <c r="E10" s="21" t="s">
        <v>20</v>
      </c>
      <c r="F10" s="21">
        <v>1</v>
      </c>
      <c r="G10" s="21">
        <f t="shared" si="3"/>
        <v>1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1</v>
      </c>
      <c r="N10" s="21">
        <v>0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6"/>
    </row>
    <row r="11" spans="1:29" x14ac:dyDescent="0.3">
      <c r="A11" s="36" t="s">
        <v>16</v>
      </c>
      <c r="B11" s="37" t="s">
        <v>28</v>
      </c>
      <c r="C11" s="32" t="s">
        <v>29</v>
      </c>
      <c r="D11" s="33" t="s">
        <v>19</v>
      </c>
      <c r="E11" s="16" t="s">
        <v>20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2"/>
    </row>
    <row r="12" spans="1:29" ht="28.8" x14ac:dyDescent="0.3">
      <c r="A12" s="30"/>
      <c r="B12" s="30" t="s">
        <v>30</v>
      </c>
      <c r="C12" s="39" t="s">
        <v>31</v>
      </c>
      <c r="D12" s="19" t="s">
        <v>19</v>
      </c>
      <c r="E12" s="21" t="s">
        <v>20</v>
      </c>
      <c r="F12" s="21">
        <v>2</v>
      </c>
      <c r="G12" s="21">
        <f t="shared" si="3"/>
        <v>2</v>
      </c>
      <c r="H12" s="21">
        <v>0</v>
      </c>
      <c r="I12" s="21">
        <v>1</v>
      </c>
      <c r="J12" s="21">
        <v>0</v>
      </c>
      <c r="K12" s="21">
        <v>1</v>
      </c>
      <c r="L12" s="21">
        <v>0</v>
      </c>
      <c r="M12" s="21">
        <v>0</v>
      </c>
      <c r="N12" s="21"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2"/>
    </row>
    <row r="13" spans="1:29" ht="28.8" x14ac:dyDescent="0.3">
      <c r="A13" s="31"/>
      <c r="B13" s="31" t="s">
        <v>32</v>
      </c>
      <c r="C13" s="38" t="s">
        <v>33</v>
      </c>
      <c r="D13" s="33" t="s">
        <v>23</v>
      </c>
      <c r="E13" s="23" t="s">
        <v>20</v>
      </c>
      <c r="F13" s="23">
        <v>2</v>
      </c>
      <c r="G13" s="23">
        <f t="shared" si="3"/>
        <v>1.9999999999999998</v>
      </c>
      <c r="H13" s="23">
        <v>0</v>
      </c>
      <c r="I13" s="23">
        <v>0.6</v>
      </c>
      <c r="J13" s="23">
        <v>0.7</v>
      </c>
      <c r="K13" s="23">
        <v>0.7</v>
      </c>
      <c r="L13" s="23">
        <v>0</v>
      </c>
      <c r="M13" s="23">
        <v>0</v>
      </c>
      <c r="N13" s="23">
        <v>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2"/>
    </row>
    <row r="14" spans="1:29" ht="28.8" x14ac:dyDescent="0.3">
      <c r="A14" s="30"/>
      <c r="B14" s="30" t="s">
        <v>34</v>
      </c>
      <c r="C14" s="39" t="s">
        <v>35</v>
      </c>
      <c r="D14" s="19" t="s">
        <v>19</v>
      </c>
      <c r="E14" s="21" t="s">
        <v>20</v>
      </c>
      <c r="F14" s="21">
        <v>1</v>
      </c>
      <c r="G14" s="21">
        <f t="shared" si="3"/>
        <v>1</v>
      </c>
      <c r="H14" s="21">
        <v>0</v>
      </c>
      <c r="I14" s="21">
        <v>0</v>
      </c>
      <c r="J14" s="21">
        <v>0</v>
      </c>
      <c r="K14" s="21">
        <v>0</v>
      </c>
      <c r="L14" s="21">
        <v>0.3</v>
      </c>
      <c r="M14" s="21">
        <v>0.7</v>
      </c>
      <c r="N14" s="21">
        <v>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2"/>
    </row>
    <row r="15" spans="1:29" x14ac:dyDescent="0.3">
      <c r="A15" s="36" t="s">
        <v>16</v>
      </c>
      <c r="B15" s="37" t="s">
        <v>36</v>
      </c>
      <c r="C15" s="32" t="s">
        <v>37</v>
      </c>
      <c r="D15" s="33" t="s">
        <v>19</v>
      </c>
      <c r="E15" s="23" t="s">
        <v>20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22"/>
    </row>
    <row r="16" spans="1:29" ht="28.8" x14ac:dyDescent="0.3">
      <c r="A16" s="30"/>
      <c r="B16" s="30" t="s">
        <v>38</v>
      </c>
      <c r="C16" s="39" t="s">
        <v>39</v>
      </c>
      <c r="D16" s="19" t="s">
        <v>19</v>
      </c>
      <c r="E16" s="21" t="s">
        <v>20</v>
      </c>
      <c r="F16" s="21">
        <v>2</v>
      </c>
      <c r="G16" s="21">
        <f t="shared" si="3"/>
        <v>2</v>
      </c>
      <c r="H16" s="1">
        <v>2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2"/>
    </row>
    <row r="17" spans="1:29" ht="28.8" x14ac:dyDescent="0.3">
      <c r="A17" s="31"/>
      <c r="B17" s="31" t="s">
        <v>40</v>
      </c>
      <c r="C17" s="38" t="s">
        <v>41</v>
      </c>
      <c r="D17" s="33" t="s">
        <v>63</v>
      </c>
      <c r="E17" s="23" t="s">
        <v>20</v>
      </c>
      <c r="F17" s="23">
        <v>2</v>
      </c>
      <c r="G17" s="23">
        <f t="shared" si="3"/>
        <v>2</v>
      </c>
      <c r="H17" s="23">
        <v>1</v>
      </c>
      <c r="I17" s="23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</row>
    <row r="18" spans="1:29" ht="28.8" x14ac:dyDescent="0.3">
      <c r="A18" s="30"/>
      <c r="B18" s="30" t="s">
        <v>43</v>
      </c>
      <c r="C18" s="39" t="s">
        <v>44</v>
      </c>
      <c r="D18" s="19" t="s">
        <v>42</v>
      </c>
      <c r="E18" s="21" t="s">
        <v>20</v>
      </c>
      <c r="F18" s="21">
        <v>1</v>
      </c>
      <c r="G18" s="21">
        <f t="shared" si="3"/>
        <v>1</v>
      </c>
      <c r="H18" s="21">
        <v>0.3</v>
      </c>
      <c r="I18" s="21">
        <v>0.3</v>
      </c>
      <c r="J18" s="21">
        <v>0.4</v>
      </c>
      <c r="K18" s="21">
        <v>0</v>
      </c>
      <c r="L18" s="21">
        <v>0</v>
      </c>
      <c r="M18" s="21">
        <v>0</v>
      </c>
      <c r="N18" s="21"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2"/>
    </row>
    <row r="19" spans="1:29" ht="21" customHeight="1" x14ac:dyDescent="0.3">
      <c r="A19" s="36" t="s">
        <v>16</v>
      </c>
      <c r="B19" s="37" t="s">
        <v>45</v>
      </c>
      <c r="C19" s="32" t="s">
        <v>46</v>
      </c>
      <c r="D19" s="33" t="s">
        <v>19</v>
      </c>
      <c r="E19" s="23" t="s">
        <v>20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22"/>
    </row>
    <row r="20" spans="1:29" ht="28.8" x14ac:dyDescent="0.3">
      <c r="A20" s="19"/>
      <c r="B20" s="30" t="s">
        <v>47</v>
      </c>
      <c r="C20" s="20" t="s">
        <v>48</v>
      </c>
      <c r="D20" s="19" t="s">
        <v>19</v>
      </c>
      <c r="E20" s="21" t="s">
        <v>20</v>
      </c>
      <c r="F20" s="21">
        <v>2</v>
      </c>
      <c r="G20" s="21">
        <f t="shared" si="3"/>
        <v>2</v>
      </c>
      <c r="H20" s="21">
        <v>0.2</v>
      </c>
      <c r="I20" s="21">
        <v>0.2</v>
      </c>
      <c r="J20" s="21">
        <v>0.2</v>
      </c>
      <c r="K20" s="21">
        <v>0.5</v>
      </c>
      <c r="L20" s="21">
        <v>0.5</v>
      </c>
      <c r="M20" s="21">
        <v>0.2</v>
      </c>
      <c r="N20" s="21">
        <v>0.2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2"/>
    </row>
    <row r="21" spans="1:29" x14ac:dyDescent="0.3">
      <c r="A21" s="33"/>
      <c r="B21" s="31" t="s">
        <v>49</v>
      </c>
      <c r="C21" s="34" t="s">
        <v>50</v>
      </c>
      <c r="D21" s="33" t="s">
        <v>23</v>
      </c>
      <c r="E21" s="23" t="s">
        <v>20</v>
      </c>
      <c r="F21" s="23">
        <v>2</v>
      </c>
      <c r="G21" s="23">
        <f t="shared" si="3"/>
        <v>1.9999999999999998</v>
      </c>
      <c r="H21" s="23">
        <v>0</v>
      </c>
      <c r="I21" s="23">
        <v>0.6</v>
      </c>
      <c r="J21" s="23">
        <v>0.7</v>
      </c>
      <c r="K21" s="23">
        <v>0</v>
      </c>
      <c r="L21" s="23">
        <v>0</v>
      </c>
      <c r="M21" s="23">
        <v>0.7</v>
      </c>
      <c r="N21" s="23"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2"/>
    </row>
    <row r="22" spans="1:29" ht="28.8" x14ac:dyDescent="0.3">
      <c r="A22" s="19"/>
      <c r="B22" s="30" t="s">
        <v>51</v>
      </c>
      <c r="C22" s="20" t="s">
        <v>52</v>
      </c>
      <c r="D22" s="19" t="s">
        <v>23</v>
      </c>
      <c r="E22" s="21" t="s">
        <v>20</v>
      </c>
      <c r="F22" s="21">
        <v>1</v>
      </c>
      <c r="G22" s="21">
        <f t="shared" si="3"/>
        <v>1</v>
      </c>
      <c r="H22" s="21">
        <v>0</v>
      </c>
      <c r="I22" s="21">
        <v>0</v>
      </c>
      <c r="J22" s="21">
        <v>0</v>
      </c>
      <c r="K22" s="21">
        <v>0.7</v>
      </c>
      <c r="L22" s="21">
        <v>0</v>
      </c>
      <c r="M22" s="21">
        <v>0</v>
      </c>
      <c r="N22" s="21">
        <v>0.3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2"/>
    </row>
    <row r="23" spans="1:29" x14ac:dyDescent="0.3">
      <c r="A23" s="40" t="s">
        <v>53</v>
      </c>
      <c r="B23" s="37" t="s">
        <v>54</v>
      </c>
      <c r="C23" s="32" t="s">
        <v>55</v>
      </c>
      <c r="D23" s="33" t="s">
        <v>56</v>
      </c>
      <c r="E23" s="23" t="s">
        <v>20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22"/>
    </row>
    <row r="24" spans="1:29" ht="29.4" customHeight="1" x14ac:dyDescent="0.3">
      <c r="A24" s="19"/>
      <c r="B24" s="30" t="s">
        <v>57</v>
      </c>
      <c r="C24" s="20" t="s">
        <v>58</v>
      </c>
      <c r="D24" s="19" t="s">
        <v>56</v>
      </c>
      <c r="E24" s="21" t="s">
        <v>20</v>
      </c>
      <c r="F24" s="21">
        <v>1</v>
      </c>
      <c r="G24" s="21">
        <f t="shared" si="3"/>
        <v>1</v>
      </c>
      <c r="H24" s="21">
        <v>0</v>
      </c>
      <c r="I24" s="21">
        <v>0</v>
      </c>
      <c r="J24" s="21">
        <v>0</v>
      </c>
      <c r="K24" s="21">
        <v>0</v>
      </c>
      <c r="L24" s="21">
        <v>0.5</v>
      </c>
      <c r="M24" s="21">
        <v>0.5</v>
      </c>
      <c r="N24" s="21"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2"/>
    </row>
    <row r="25" spans="1:29" ht="28.8" x14ac:dyDescent="0.3">
      <c r="A25" s="33"/>
      <c r="B25" s="31" t="s">
        <v>59</v>
      </c>
      <c r="C25" s="34" t="s">
        <v>60</v>
      </c>
      <c r="D25" s="33" t="s">
        <v>56</v>
      </c>
      <c r="E25" s="23" t="s">
        <v>20</v>
      </c>
      <c r="F25" s="23">
        <v>1</v>
      </c>
      <c r="G25" s="23">
        <f t="shared" si="3"/>
        <v>1</v>
      </c>
      <c r="H25" s="23">
        <v>0</v>
      </c>
      <c r="I25" s="23">
        <v>0</v>
      </c>
      <c r="J25" s="23">
        <v>0</v>
      </c>
      <c r="K25" s="23">
        <v>0</v>
      </c>
      <c r="L25" s="23">
        <v>0.5</v>
      </c>
      <c r="M25" s="23">
        <v>0.5</v>
      </c>
      <c r="N25" s="23"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2"/>
    </row>
    <row r="26" spans="1:29" ht="28.8" x14ac:dyDescent="0.3">
      <c r="A26" s="19"/>
      <c r="B26" s="30" t="s">
        <v>61</v>
      </c>
      <c r="C26" s="20" t="s">
        <v>62</v>
      </c>
      <c r="D26" s="19" t="s">
        <v>63</v>
      </c>
      <c r="E26" s="21" t="s">
        <v>20</v>
      </c>
      <c r="F26" s="21">
        <v>1</v>
      </c>
      <c r="G26" s="21">
        <f t="shared" si="3"/>
        <v>1</v>
      </c>
      <c r="H26" s="21">
        <v>0</v>
      </c>
      <c r="I26" s="21">
        <v>0</v>
      </c>
      <c r="J26" s="21">
        <v>0</v>
      </c>
      <c r="K26" s="21">
        <v>0</v>
      </c>
      <c r="L26" s="21">
        <v>1</v>
      </c>
      <c r="M26" s="21">
        <v>0</v>
      </c>
      <c r="N26" s="21">
        <v>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2"/>
    </row>
    <row r="27" spans="1:29" x14ac:dyDescent="0.3">
      <c r="A27" s="40" t="s">
        <v>53</v>
      </c>
      <c r="B27" s="37" t="s">
        <v>64</v>
      </c>
      <c r="C27" s="32" t="s">
        <v>65</v>
      </c>
      <c r="D27" s="33" t="s">
        <v>56</v>
      </c>
      <c r="E27" s="23" t="s">
        <v>20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2"/>
    </row>
    <row r="28" spans="1:29" ht="28.8" x14ac:dyDescent="0.3">
      <c r="A28" s="19"/>
      <c r="B28" s="30" t="s">
        <v>66</v>
      </c>
      <c r="C28" s="20" t="s">
        <v>67</v>
      </c>
      <c r="D28" s="19" t="s">
        <v>68</v>
      </c>
      <c r="E28" s="21" t="s">
        <v>20</v>
      </c>
      <c r="F28" s="21">
        <v>1</v>
      </c>
      <c r="G28" s="21">
        <f t="shared" si="3"/>
        <v>1</v>
      </c>
      <c r="H28" s="21"/>
      <c r="I28" s="21"/>
      <c r="J28" s="21"/>
      <c r="K28" s="21"/>
      <c r="L28" s="21"/>
      <c r="M28" s="21"/>
      <c r="N28" s="21"/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0.5</v>
      </c>
      <c r="U28" s="21">
        <v>0.5</v>
      </c>
      <c r="V28" s="21"/>
      <c r="W28" s="21"/>
      <c r="X28" s="21"/>
      <c r="Y28" s="21"/>
      <c r="Z28" s="21"/>
      <c r="AA28" s="21"/>
      <c r="AB28" s="21"/>
      <c r="AC28" s="22"/>
    </row>
    <row r="29" spans="1:29" ht="33.6" customHeight="1" x14ac:dyDescent="0.3">
      <c r="A29" s="33"/>
      <c r="B29" s="31" t="s">
        <v>69</v>
      </c>
      <c r="C29" s="34" t="s">
        <v>70</v>
      </c>
      <c r="D29" s="33" t="s">
        <v>56</v>
      </c>
      <c r="E29" s="23" t="s">
        <v>20</v>
      </c>
      <c r="F29" s="23">
        <v>1</v>
      </c>
      <c r="G29" s="23">
        <f t="shared" si="3"/>
        <v>1</v>
      </c>
      <c r="H29" s="23"/>
      <c r="I29" s="23"/>
      <c r="J29" s="23"/>
      <c r="K29" s="23"/>
      <c r="L29" s="23"/>
      <c r="M29" s="23"/>
      <c r="N29" s="23"/>
      <c r="O29" s="23">
        <v>0.25</v>
      </c>
      <c r="P29" s="23">
        <v>0</v>
      </c>
      <c r="Q29" s="23">
        <v>0</v>
      </c>
      <c r="R29" s="23">
        <v>0.25</v>
      </c>
      <c r="S29" s="23">
        <v>0.25</v>
      </c>
      <c r="T29" s="23">
        <v>0.25</v>
      </c>
      <c r="U29" s="23">
        <v>0</v>
      </c>
      <c r="V29" s="23"/>
      <c r="W29" s="23"/>
      <c r="X29" s="23"/>
      <c r="Y29" s="23"/>
      <c r="Z29" s="23"/>
      <c r="AA29" s="23"/>
      <c r="AB29" s="23"/>
      <c r="AC29" s="22"/>
    </row>
    <row r="30" spans="1:29" ht="28.8" x14ac:dyDescent="0.3">
      <c r="A30" s="19"/>
      <c r="B30" s="30" t="s">
        <v>71</v>
      </c>
      <c r="C30" s="20" t="s">
        <v>72</v>
      </c>
      <c r="D30" s="19" t="s">
        <v>56</v>
      </c>
      <c r="E30" s="21" t="s">
        <v>20</v>
      </c>
      <c r="F30" s="21">
        <v>1</v>
      </c>
      <c r="G30" s="21">
        <f t="shared" si="3"/>
        <v>1</v>
      </c>
      <c r="H30" s="21"/>
      <c r="I30" s="21"/>
      <c r="J30" s="21"/>
      <c r="K30" s="21"/>
      <c r="L30" s="21"/>
      <c r="M30" s="21"/>
      <c r="N30" s="21"/>
      <c r="O30" s="21">
        <v>0</v>
      </c>
      <c r="P30" s="21">
        <v>0</v>
      </c>
      <c r="Q30" s="21">
        <v>0</v>
      </c>
      <c r="R30" s="21">
        <v>0.2</v>
      </c>
      <c r="S30" s="21">
        <v>0.2</v>
      </c>
      <c r="T30" s="21">
        <v>0.4</v>
      </c>
      <c r="U30" s="21">
        <v>0.2</v>
      </c>
      <c r="V30" s="21"/>
      <c r="W30" s="21"/>
      <c r="X30" s="21"/>
      <c r="Y30" s="21"/>
      <c r="Z30" s="21"/>
      <c r="AA30" s="21"/>
      <c r="AB30" s="21"/>
      <c r="AC30" s="22"/>
    </row>
    <row r="31" spans="1:29" x14ac:dyDescent="0.3">
      <c r="A31" s="40" t="s">
        <v>53</v>
      </c>
      <c r="B31" s="37" t="s">
        <v>73</v>
      </c>
      <c r="C31" s="32" t="s">
        <v>74</v>
      </c>
      <c r="D31" s="33" t="s">
        <v>56</v>
      </c>
      <c r="E31" s="23" t="s">
        <v>20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22"/>
    </row>
    <row r="32" spans="1:29" ht="28.8" x14ac:dyDescent="0.3">
      <c r="A32" s="19"/>
      <c r="B32" s="30" t="s">
        <v>75</v>
      </c>
      <c r="C32" s="20" t="s">
        <v>76</v>
      </c>
      <c r="D32" s="19" t="s">
        <v>85</v>
      </c>
      <c r="E32" s="21" t="s">
        <v>20</v>
      </c>
      <c r="F32" s="21">
        <v>2</v>
      </c>
      <c r="G32" s="21">
        <f t="shared" si="3"/>
        <v>1.9999999999999998</v>
      </c>
      <c r="H32" s="21"/>
      <c r="I32" s="21"/>
      <c r="J32" s="21"/>
      <c r="K32" s="21"/>
      <c r="L32" s="21"/>
      <c r="M32" s="21"/>
      <c r="N32" s="21"/>
      <c r="O32" s="21">
        <v>0</v>
      </c>
      <c r="P32" s="21">
        <v>0.3</v>
      </c>
      <c r="Q32" s="21">
        <v>0</v>
      </c>
      <c r="R32" s="21">
        <v>0.3</v>
      </c>
      <c r="S32" s="21">
        <v>0.7</v>
      </c>
      <c r="T32" s="21">
        <v>0.7</v>
      </c>
      <c r="U32" s="21">
        <v>0</v>
      </c>
      <c r="V32" s="21"/>
      <c r="W32" s="21"/>
      <c r="X32" s="21"/>
      <c r="Y32" s="21"/>
      <c r="Z32" s="21"/>
      <c r="AA32" s="21"/>
      <c r="AB32" s="21"/>
      <c r="AC32" s="22"/>
    </row>
    <row r="33" spans="1:29" ht="28.8" x14ac:dyDescent="0.3">
      <c r="A33" s="33"/>
      <c r="B33" s="31" t="s">
        <v>78</v>
      </c>
      <c r="C33" s="34" t="s">
        <v>79</v>
      </c>
      <c r="D33" s="33" t="s">
        <v>85</v>
      </c>
      <c r="E33" s="23" t="s">
        <v>20</v>
      </c>
      <c r="F33" s="23">
        <v>2</v>
      </c>
      <c r="G33" s="23">
        <f t="shared" si="3"/>
        <v>2</v>
      </c>
      <c r="H33" s="23"/>
      <c r="I33" s="23"/>
      <c r="J33" s="23"/>
      <c r="K33" s="23"/>
      <c r="L33" s="23"/>
      <c r="M33" s="23"/>
      <c r="N33" s="23"/>
      <c r="O33" s="23">
        <v>0</v>
      </c>
      <c r="P33" s="23">
        <v>0</v>
      </c>
      <c r="Q33" s="23">
        <v>0.4</v>
      </c>
      <c r="R33" s="23">
        <v>0</v>
      </c>
      <c r="S33" s="23">
        <v>0.8</v>
      </c>
      <c r="T33" s="23">
        <v>0.8</v>
      </c>
      <c r="U33" s="23">
        <v>0</v>
      </c>
      <c r="V33" s="23"/>
      <c r="W33" s="23"/>
      <c r="X33" s="23"/>
      <c r="Y33" s="23"/>
      <c r="Z33" s="23"/>
      <c r="AA33" s="23"/>
      <c r="AB33" s="23"/>
      <c r="AC33" s="22"/>
    </row>
    <row r="34" spans="1:29" ht="37.200000000000003" customHeight="1" x14ac:dyDescent="0.3">
      <c r="A34" s="19"/>
      <c r="B34" s="30" t="s">
        <v>80</v>
      </c>
      <c r="C34" s="20" t="s">
        <v>81</v>
      </c>
      <c r="D34" s="19" t="s">
        <v>77</v>
      </c>
      <c r="E34" s="21" t="s">
        <v>20</v>
      </c>
      <c r="F34" s="21">
        <v>1</v>
      </c>
      <c r="G34" s="21">
        <f t="shared" si="3"/>
        <v>1</v>
      </c>
      <c r="H34" s="21"/>
      <c r="I34" s="21"/>
      <c r="J34" s="21"/>
      <c r="K34" s="21"/>
      <c r="L34" s="21"/>
      <c r="M34" s="21"/>
      <c r="N34" s="21"/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0.4</v>
      </c>
      <c r="U34" s="21">
        <v>0.6</v>
      </c>
      <c r="V34" s="21"/>
      <c r="W34" s="21"/>
      <c r="X34" s="21"/>
      <c r="Y34" s="21"/>
      <c r="Z34" s="21"/>
      <c r="AA34" s="21"/>
      <c r="AB34" s="21"/>
      <c r="AC34" s="22"/>
    </row>
    <row r="35" spans="1:29" x14ac:dyDescent="0.3">
      <c r="A35" s="41" t="s">
        <v>82</v>
      </c>
      <c r="B35" s="37" t="s">
        <v>83</v>
      </c>
      <c r="C35" s="32" t="s">
        <v>84</v>
      </c>
      <c r="D35" s="33" t="s">
        <v>85</v>
      </c>
      <c r="E35" s="23" t="s">
        <v>20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22"/>
    </row>
    <row r="36" spans="1:29" ht="28.8" x14ac:dyDescent="0.3">
      <c r="A36" s="19"/>
      <c r="B36" s="30" t="s">
        <v>86</v>
      </c>
      <c r="C36" s="20" t="s">
        <v>87</v>
      </c>
      <c r="D36" s="19" t="s">
        <v>56</v>
      </c>
      <c r="E36" s="21" t="s">
        <v>20</v>
      </c>
      <c r="F36" s="21">
        <v>2</v>
      </c>
      <c r="G36" s="21">
        <f t="shared" si="3"/>
        <v>2</v>
      </c>
      <c r="H36" s="21">
        <v>0.6</v>
      </c>
      <c r="I36" s="21">
        <v>0.3</v>
      </c>
      <c r="J36" s="21">
        <v>0.6</v>
      </c>
      <c r="K36" s="21">
        <v>0.3</v>
      </c>
      <c r="L36" s="21">
        <v>0.2</v>
      </c>
      <c r="M36" s="21">
        <v>0</v>
      </c>
      <c r="N36" s="21">
        <v>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2"/>
    </row>
    <row r="37" spans="1:29" ht="37.200000000000003" customHeight="1" x14ac:dyDescent="0.3">
      <c r="A37" s="33"/>
      <c r="B37" s="31" t="s">
        <v>88</v>
      </c>
      <c r="C37" s="34" t="s">
        <v>89</v>
      </c>
      <c r="D37" s="33" t="s">
        <v>56</v>
      </c>
      <c r="E37" s="23" t="s">
        <v>20</v>
      </c>
      <c r="F37" s="23">
        <v>2</v>
      </c>
      <c r="G37" s="23">
        <f t="shared" si="3"/>
        <v>2</v>
      </c>
      <c r="H37" s="23">
        <v>0</v>
      </c>
      <c r="I37" s="23">
        <v>0.15</v>
      </c>
      <c r="J37" s="23">
        <v>0.15</v>
      </c>
      <c r="K37" s="23">
        <v>0.15</v>
      </c>
      <c r="L37" s="23">
        <v>0.3</v>
      </c>
      <c r="M37" s="23">
        <v>0.35</v>
      </c>
      <c r="N37" s="23">
        <v>0</v>
      </c>
      <c r="O37" s="23">
        <v>0</v>
      </c>
      <c r="P37" s="23">
        <v>0</v>
      </c>
      <c r="Q37" s="23">
        <v>0.15</v>
      </c>
      <c r="R37" s="23">
        <v>0.15</v>
      </c>
      <c r="S37" s="23">
        <v>0.3</v>
      </c>
      <c r="T37" s="23">
        <v>0.3</v>
      </c>
      <c r="U37" s="23">
        <v>0</v>
      </c>
      <c r="V37" s="23"/>
      <c r="W37" s="23"/>
      <c r="X37" s="23"/>
      <c r="Y37" s="23"/>
      <c r="Z37" s="23"/>
      <c r="AA37" s="23"/>
      <c r="AB37" s="23"/>
      <c r="AC37" s="22"/>
    </row>
    <row r="38" spans="1:29" ht="36.6" customHeight="1" x14ac:dyDescent="0.3">
      <c r="A38" s="19"/>
      <c r="B38" s="30" t="s">
        <v>90</v>
      </c>
      <c r="C38" s="20" t="s">
        <v>91</v>
      </c>
      <c r="D38" s="19" t="s">
        <v>85</v>
      </c>
      <c r="E38" s="21" t="s">
        <v>20</v>
      </c>
      <c r="F38" s="21">
        <v>1</v>
      </c>
      <c r="G38" s="21">
        <f t="shared" si="3"/>
        <v>1</v>
      </c>
      <c r="H38" s="21"/>
      <c r="I38" s="21"/>
      <c r="J38" s="21"/>
      <c r="K38" s="21"/>
      <c r="L38" s="21"/>
      <c r="M38" s="21"/>
      <c r="N38" s="21"/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0.7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0.3</v>
      </c>
      <c r="AB38" s="21">
        <v>0</v>
      </c>
      <c r="AC38" s="22"/>
    </row>
    <row r="39" spans="1:29" ht="30.6" customHeight="1" x14ac:dyDescent="0.3">
      <c r="A39" s="33"/>
      <c r="B39" s="42" t="s">
        <v>92</v>
      </c>
      <c r="C39" s="43" t="s">
        <v>93</v>
      </c>
      <c r="D39" s="33" t="s">
        <v>63</v>
      </c>
      <c r="E39" s="23" t="s">
        <v>20</v>
      </c>
      <c r="F39" s="23">
        <v>1</v>
      </c>
      <c r="G39" s="23">
        <f t="shared" si="3"/>
        <v>1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>
        <v>0</v>
      </c>
      <c r="W39" s="23">
        <v>0</v>
      </c>
      <c r="X39" s="23">
        <v>0</v>
      </c>
      <c r="Y39" s="23">
        <v>0.2</v>
      </c>
      <c r="Z39" s="23">
        <v>0.2</v>
      </c>
      <c r="AA39" s="23">
        <v>0.4</v>
      </c>
      <c r="AB39" s="23">
        <v>0.2</v>
      </c>
      <c r="AC39" s="22"/>
    </row>
    <row r="40" spans="1:29" x14ac:dyDescent="0.3">
      <c r="A40" s="44" t="s">
        <v>94</v>
      </c>
      <c r="B40" s="37" t="s">
        <v>95</v>
      </c>
      <c r="C40" s="32" t="s">
        <v>96</v>
      </c>
      <c r="D40" s="33" t="s">
        <v>56</v>
      </c>
      <c r="E40" s="21" t="s">
        <v>20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22"/>
    </row>
    <row r="41" spans="1:29" ht="28.8" x14ac:dyDescent="0.3">
      <c r="A41" s="19"/>
      <c r="B41" s="30" t="s">
        <v>97</v>
      </c>
      <c r="C41" s="20" t="s">
        <v>98</v>
      </c>
      <c r="D41" s="19" t="s">
        <v>56</v>
      </c>
      <c r="E41" s="23" t="s">
        <v>20</v>
      </c>
      <c r="F41" s="23">
        <v>1</v>
      </c>
      <c r="G41" s="23">
        <f t="shared" si="3"/>
        <v>1</v>
      </c>
      <c r="H41" s="23">
        <v>0</v>
      </c>
      <c r="I41" s="23">
        <v>0</v>
      </c>
      <c r="J41" s="23">
        <v>0.5</v>
      </c>
      <c r="K41" s="23">
        <v>0.5</v>
      </c>
      <c r="L41" s="23">
        <v>0</v>
      </c>
      <c r="M41" s="23">
        <v>0</v>
      </c>
      <c r="N41" s="23">
        <v>0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2"/>
    </row>
    <row r="42" spans="1:29" ht="28.8" x14ac:dyDescent="0.3">
      <c r="A42" s="33"/>
      <c r="B42" s="31" t="s">
        <v>99</v>
      </c>
      <c r="C42" s="34" t="s">
        <v>100</v>
      </c>
      <c r="D42" s="33" t="s">
        <v>56</v>
      </c>
      <c r="E42" s="21" t="s">
        <v>20</v>
      </c>
      <c r="F42" s="21">
        <v>1</v>
      </c>
      <c r="G42" s="21">
        <f t="shared" si="3"/>
        <v>1</v>
      </c>
      <c r="H42" s="21"/>
      <c r="I42" s="21"/>
      <c r="J42" s="21"/>
      <c r="K42" s="21"/>
      <c r="L42" s="21"/>
      <c r="M42" s="21"/>
      <c r="N42" s="21"/>
      <c r="O42" s="21">
        <v>0.3</v>
      </c>
      <c r="P42" s="21">
        <v>0</v>
      </c>
      <c r="Q42" s="21">
        <v>0.3</v>
      </c>
      <c r="R42" s="21">
        <v>0.4</v>
      </c>
      <c r="S42" s="21">
        <v>0</v>
      </c>
      <c r="T42" s="21">
        <v>0</v>
      </c>
      <c r="U42" s="21">
        <v>0</v>
      </c>
      <c r="V42" s="21"/>
      <c r="W42" s="21"/>
      <c r="X42" s="21"/>
      <c r="Y42" s="21"/>
      <c r="Z42" s="21"/>
      <c r="AA42" s="21"/>
      <c r="AB42" s="21"/>
      <c r="AC42" s="22"/>
    </row>
    <row r="43" spans="1:29" ht="28.8" x14ac:dyDescent="0.3">
      <c r="A43" s="19"/>
      <c r="B43" s="30" t="s">
        <v>101</v>
      </c>
      <c r="C43" s="20" t="s">
        <v>102</v>
      </c>
      <c r="D43" s="19" t="s">
        <v>42</v>
      </c>
      <c r="E43" s="23" t="s">
        <v>20</v>
      </c>
      <c r="F43" s="23">
        <v>1</v>
      </c>
      <c r="G43" s="23">
        <f t="shared" si="3"/>
        <v>1</v>
      </c>
      <c r="H43" s="23"/>
      <c r="I43" s="23"/>
      <c r="J43" s="23"/>
      <c r="K43" s="23"/>
      <c r="L43" s="23"/>
      <c r="M43" s="23"/>
      <c r="N43" s="23"/>
      <c r="O43" s="23">
        <v>0.2</v>
      </c>
      <c r="P43" s="23">
        <v>0.2</v>
      </c>
      <c r="Q43" s="23">
        <v>0.4</v>
      </c>
      <c r="R43" s="23">
        <v>0</v>
      </c>
      <c r="S43" s="23">
        <v>0</v>
      </c>
      <c r="T43" s="23">
        <v>0</v>
      </c>
      <c r="U43" s="23">
        <v>0.2</v>
      </c>
      <c r="V43" s="23"/>
      <c r="W43" s="23"/>
      <c r="X43" s="23"/>
      <c r="Y43" s="23"/>
      <c r="Z43" s="23"/>
      <c r="AA43" s="23"/>
      <c r="AB43" s="23"/>
      <c r="AC43" s="22"/>
    </row>
    <row r="44" spans="1:29" ht="21" customHeight="1" x14ac:dyDescent="0.3">
      <c r="A44" s="15" t="s">
        <v>103</v>
      </c>
      <c r="B44" s="37" t="s">
        <v>104</v>
      </c>
      <c r="C44" s="32" t="s">
        <v>105</v>
      </c>
      <c r="D44" s="33" t="s">
        <v>56</v>
      </c>
      <c r="E44" s="21" t="s">
        <v>20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22"/>
    </row>
    <row r="45" spans="1:29" ht="28.8" x14ac:dyDescent="0.3">
      <c r="A45" s="19"/>
      <c r="B45" s="30" t="s">
        <v>106</v>
      </c>
      <c r="C45" s="20" t="s">
        <v>107</v>
      </c>
      <c r="D45" s="19" t="s">
        <v>23</v>
      </c>
      <c r="E45" s="23" t="s">
        <v>20</v>
      </c>
      <c r="F45" s="23">
        <v>2</v>
      </c>
      <c r="G45" s="23">
        <f t="shared" si="3"/>
        <v>2</v>
      </c>
      <c r="H45" s="23">
        <v>2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2"/>
    </row>
    <row r="46" spans="1:29" ht="28.8" x14ac:dyDescent="0.3">
      <c r="A46" s="33"/>
      <c r="B46" s="31" t="s">
        <v>109</v>
      </c>
      <c r="C46" s="34" t="s">
        <v>110</v>
      </c>
      <c r="D46" s="33" t="s">
        <v>56</v>
      </c>
      <c r="E46" s="21" t="s">
        <v>20</v>
      </c>
      <c r="F46" s="21">
        <v>2</v>
      </c>
      <c r="G46" s="21">
        <f t="shared" si="3"/>
        <v>2</v>
      </c>
      <c r="H46" s="21"/>
      <c r="I46" s="21"/>
      <c r="J46" s="21"/>
      <c r="K46" s="21"/>
      <c r="L46" s="21"/>
      <c r="M46" s="21"/>
      <c r="N46" s="21"/>
      <c r="O46" s="21">
        <v>0</v>
      </c>
      <c r="P46" s="21">
        <v>1</v>
      </c>
      <c r="Q46" s="21">
        <v>0.5</v>
      </c>
      <c r="R46" s="21">
        <v>0</v>
      </c>
      <c r="S46" s="21">
        <v>0</v>
      </c>
      <c r="T46" s="21">
        <v>0.5</v>
      </c>
      <c r="U46" s="21">
        <v>0</v>
      </c>
      <c r="V46" s="21"/>
      <c r="W46" s="21"/>
      <c r="X46" s="21"/>
      <c r="Y46" s="21"/>
      <c r="Z46" s="21"/>
      <c r="AA46" s="21"/>
      <c r="AB46" s="21"/>
      <c r="AC46" s="22"/>
    </row>
    <row r="47" spans="1:29" ht="28.8" x14ac:dyDescent="0.3">
      <c r="A47" s="19"/>
      <c r="B47" s="30" t="s">
        <v>111</v>
      </c>
      <c r="C47" s="20" t="s">
        <v>112</v>
      </c>
      <c r="D47" s="19" t="s">
        <v>108</v>
      </c>
      <c r="E47" s="23" t="s">
        <v>20</v>
      </c>
      <c r="F47" s="23">
        <v>1</v>
      </c>
      <c r="G47" s="23">
        <f t="shared" si="3"/>
        <v>1</v>
      </c>
      <c r="H47" s="23"/>
      <c r="I47" s="23"/>
      <c r="J47" s="23"/>
      <c r="K47" s="23"/>
      <c r="L47" s="23"/>
      <c r="M47" s="23"/>
      <c r="N47" s="23"/>
      <c r="O47" s="23">
        <v>0.2</v>
      </c>
      <c r="P47" s="23">
        <v>0</v>
      </c>
      <c r="Q47" s="23">
        <v>0</v>
      </c>
      <c r="R47" s="23">
        <v>0</v>
      </c>
      <c r="S47" s="23">
        <v>0.2</v>
      </c>
      <c r="T47" s="23">
        <v>0.6</v>
      </c>
      <c r="U47" s="23">
        <v>0</v>
      </c>
      <c r="V47" s="23"/>
      <c r="W47" s="23"/>
      <c r="X47" s="23"/>
      <c r="Y47" s="23"/>
      <c r="Z47" s="23"/>
      <c r="AA47" s="23"/>
      <c r="AB47" s="23"/>
      <c r="AC47" s="22"/>
    </row>
    <row r="48" spans="1:29" x14ac:dyDescent="0.3">
      <c r="A48" s="15" t="s">
        <v>103</v>
      </c>
      <c r="B48" s="37" t="s">
        <v>113</v>
      </c>
      <c r="C48" s="32" t="s">
        <v>114</v>
      </c>
      <c r="D48" s="33" t="s">
        <v>68</v>
      </c>
      <c r="E48" s="21" t="s">
        <v>20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22"/>
    </row>
    <row r="49" spans="1:29" ht="33" customHeight="1" x14ac:dyDescent="0.3">
      <c r="A49" s="19"/>
      <c r="B49" s="30" t="s">
        <v>115</v>
      </c>
      <c r="C49" s="20" t="s">
        <v>116</v>
      </c>
      <c r="D49" s="19" t="s">
        <v>108</v>
      </c>
      <c r="E49" s="23" t="s">
        <v>20</v>
      </c>
      <c r="F49" s="23">
        <v>1</v>
      </c>
      <c r="G49" s="23">
        <f t="shared" si="3"/>
        <v>1</v>
      </c>
      <c r="H49" s="23">
        <v>0</v>
      </c>
      <c r="I49" s="23">
        <v>0</v>
      </c>
      <c r="J49" s="23">
        <v>0.5</v>
      </c>
      <c r="K49" s="23">
        <v>0.5</v>
      </c>
      <c r="L49" s="23">
        <v>0</v>
      </c>
      <c r="M49" s="23">
        <v>0</v>
      </c>
      <c r="N49" s="23">
        <v>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2"/>
    </row>
    <row r="50" spans="1:29" ht="28.8" x14ac:dyDescent="0.3">
      <c r="A50" s="33"/>
      <c r="B50" s="31" t="s">
        <v>117</v>
      </c>
      <c r="C50" s="34" t="s">
        <v>118</v>
      </c>
      <c r="D50" s="33" t="s">
        <v>108</v>
      </c>
      <c r="E50" s="21" t="s">
        <v>20</v>
      </c>
      <c r="F50" s="21">
        <v>1</v>
      </c>
      <c r="G50" s="21">
        <f t="shared" si="3"/>
        <v>1</v>
      </c>
      <c r="H50" s="21"/>
      <c r="I50" s="21"/>
      <c r="J50" s="21"/>
      <c r="K50" s="21"/>
      <c r="L50" s="21"/>
      <c r="M50" s="21"/>
      <c r="N50" s="21"/>
      <c r="O50" s="21">
        <v>0.2</v>
      </c>
      <c r="P50" s="21">
        <v>0.2</v>
      </c>
      <c r="Q50" s="21">
        <v>0.4</v>
      </c>
      <c r="R50" s="21">
        <v>0</v>
      </c>
      <c r="S50" s="21">
        <v>0</v>
      </c>
      <c r="T50" s="21">
        <v>0</v>
      </c>
      <c r="U50" s="21">
        <v>0.2</v>
      </c>
      <c r="V50" s="21"/>
      <c r="W50" s="21"/>
      <c r="X50" s="21"/>
      <c r="Y50" s="21"/>
      <c r="Z50" s="21"/>
      <c r="AA50" s="21"/>
      <c r="AB50" s="21"/>
      <c r="AC50" s="22"/>
    </row>
    <row r="51" spans="1:29" ht="28.8" x14ac:dyDescent="0.3">
      <c r="A51" s="19"/>
      <c r="B51" s="30" t="s">
        <v>119</v>
      </c>
      <c r="C51" s="20" t="s">
        <v>120</v>
      </c>
      <c r="D51" s="19" t="s">
        <v>108</v>
      </c>
      <c r="E51" s="23" t="s">
        <v>20</v>
      </c>
      <c r="F51" s="23">
        <v>1</v>
      </c>
      <c r="G51" s="23">
        <f t="shared" si="3"/>
        <v>1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>
        <v>0</v>
      </c>
      <c r="W51" s="23">
        <v>0</v>
      </c>
      <c r="X51" s="23">
        <v>0.4</v>
      </c>
      <c r="Y51" s="23">
        <v>0.4</v>
      </c>
      <c r="Z51" s="23">
        <v>0</v>
      </c>
      <c r="AA51" s="23">
        <v>0</v>
      </c>
      <c r="AB51" s="23">
        <v>0.2</v>
      </c>
      <c r="AC51" s="22"/>
    </row>
    <row r="52" spans="1:29" x14ac:dyDescent="0.3">
      <c r="A52" s="15" t="s">
        <v>103</v>
      </c>
      <c r="B52" s="37" t="s">
        <v>121</v>
      </c>
      <c r="C52" s="32" t="s">
        <v>122</v>
      </c>
      <c r="D52" s="33" t="s">
        <v>56</v>
      </c>
      <c r="E52" s="21" t="s">
        <v>20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22"/>
    </row>
    <row r="53" spans="1:29" ht="28.8" x14ac:dyDescent="0.3">
      <c r="A53" s="19"/>
      <c r="B53" s="30" t="s">
        <v>123</v>
      </c>
      <c r="C53" s="20" t="s">
        <v>124</v>
      </c>
      <c r="D53" s="19" t="s">
        <v>63</v>
      </c>
      <c r="E53" s="23" t="s">
        <v>20</v>
      </c>
      <c r="F53" s="23">
        <v>3</v>
      </c>
      <c r="G53" s="23">
        <f t="shared" si="3"/>
        <v>3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>
        <v>1.2</v>
      </c>
      <c r="W53" s="23">
        <v>1.2</v>
      </c>
      <c r="X53" s="23">
        <v>0.6</v>
      </c>
      <c r="Y53" s="23">
        <v>0</v>
      </c>
      <c r="Z53" s="23">
        <v>0</v>
      </c>
      <c r="AA53" s="23">
        <v>0</v>
      </c>
      <c r="AB53" s="23">
        <v>0</v>
      </c>
      <c r="AC53" s="22"/>
    </row>
    <row r="54" spans="1:29" ht="33.6" customHeight="1" x14ac:dyDescent="0.3">
      <c r="A54" s="33"/>
      <c r="B54" s="31" t="s">
        <v>125</v>
      </c>
      <c r="C54" s="34" t="s">
        <v>126</v>
      </c>
      <c r="D54" s="33" t="s">
        <v>19</v>
      </c>
      <c r="E54" s="21" t="s">
        <v>20</v>
      </c>
      <c r="F54" s="21">
        <v>2</v>
      </c>
      <c r="G54" s="21">
        <f t="shared" si="3"/>
        <v>2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>
        <v>0</v>
      </c>
      <c r="W54" s="21">
        <v>0</v>
      </c>
      <c r="X54" s="21">
        <v>0.3</v>
      </c>
      <c r="Y54" s="21">
        <v>0.7</v>
      </c>
      <c r="Z54" s="21">
        <v>0.7</v>
      </c>
      <c r="AA54" s="21">
        <v>0.3</v>
      </c>
      <c r="AB54" s="21">
        <v>0</v>
      </c>
      <c r="AC54" s="22"/>
    </row>
    <row r="55" spans="1:29" ht="28.8" x14ac:dyDescent="0.3">
      <c r="A55" s="19"/>
      <c r="B55" s="30" t="s">
        <v>127</v>
      </c>
      <c r="C55" s="20" t="s">
        <v>128</v>
      </c>
      <c r="D55" s="19" t="s">
        <v>85</v>
      </c>
      <c r="E55" s="23" t="s">
        <v>20</v>
      </c>
      <c r="F55" s="23">
        <v>2</v>
      </c>
      <c r="G55" s="23">
        <f t="shared" si="3"/>
        <v>2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>
        <v>0</v>
      </c>
      <c r="W55" s="23">
        <v>0</v>
      </c>
      <c r="X55" s="23">
        <v>1.2</v>
      </c>
      <c r="Y55" s="23">
        <v>0.5</v>
      </c>
      <c r="Z55" s="23">
        <v>0.3</v>
      </c>
      <c r="AA55" s="23">
        <v>0</v>
      </c>
      <c r="AB55" s="23">
        <v>0</v>
      </c>
      <c r="AC55" s="22"/>
    </row>
    <row r="56" spans="1:29" ht="28.8" x14ac:dyDescent="0.3">
      <c r="A56" s="33"/>
      <c r="B56" s="45" t="s">
        <v>129</v>
      </c>
      <c r="C56" s="43" t="s">
        <v>130</v>
      </c>
      <c r="D56" s="33" t="s">
        <v>85</v>
      </c>
      <c r="E56" s="21" t="s">
        <v>20</v>
      </c>
      <c r="F56" s="21">
        <v>1</v>
      </c>
      <c r="G56" s="21">
        <f t="shared" si="3"/>
        <v>1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>
        <v>0</v>
      </c>
      <c r="W56" s="21">
        <v>0</v>
      </c>
      <c r="X56" s="21">
        <v>0</v>
      </c>
      <c r="Y56" s="21">
        <v>0</v>
      </c>
      <c r="Z56" s="21">
        <v>0.5</v>
      </c>
      <c r="AA56" s="21">
        <v>0.5</v>
      </c>
      <c r="AB56" s="21">
        <v>0</v>
      </c>
      <c r="AC56" s="22"/>
    </row>
    <row r="57" spans="1:29" x14ac:dyDescent="0.3">
      <c r="A57" s="15" t="s">
        <v>103</v>
      </c>
      <c r="B57" s="37" t="s">
        <v>131</v>
      </c>
      <c r="C57" s="32" t="s">
        <v>132</v>
      </c>
      <c r="D57" s="33" t="s">
        <v>68</v>
      </c>
      <c r="E57" s="23" t="s">
        <v>20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22"/>
    </row>
    <row r="58" spans="1:29" ht="28.8" x14ac:dyDescent="0.3">
      <c r="A58" s="19"/>
      <c r="B58" s="30" t="s">
        <v>133</v>
      </c>
      <c r="C58" s="20" t="s">
        <v>134</v>
      </c>
      <c r="D58" s="19" t="s">
        <v>63</v>
      </c>
      <c r="E58" s="21" t="s">
        <v>20</v>
      </c>
      <c r="F58" s="21">
        <v>1</v>
      </c>
      <c r="G58" s="21">
        <f t="shared" si="3"/>
        <v>1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>
        <v>0.5</v>
      </c>
      <c r="W58" s="21">
        <v>0.5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2"/>
    </row>
    <row r="59" spans="1:29" ht="34.950000000000003" customHeight="1" x14ac:dyDescent="0.3">
      <c r="A59" s="33"/>
      <c r="B59" s="31" t="s">
        <v>135</v>
      </c>
      <c r="C59" s="34" t="s">
        <v>136</v>
      </c>
      <c r="D59" s="33" t="s">
        <v>42</v>
      </c>
      <c r="E59" s="23" t="s">
        <v>20</v>
      </c>
      <c r="F59" s="23">
        <v>1</v>
      </c>
      <c r="G59" s="23">
        <f t="shared" si="3"/>
        <v>1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>
        <v>0</v>
      </c>
      <c r="W59" s="23">
        <v>0</v>
      </c>
      <c r="X59" s="23">
        <v>0</v>
      </c>
      <c r="Y59" s="23">
        <v>0.3</v>
      </c>
      <c r="Z59" s="23">
        <v>0.3</v>
      </c>
      <c r="AA59" s="23">
        <v>0.4</v>
      </c>
      <c r="AB59" s="23">
        <v>0</v>
      </c>
      <c r="AC59" s="22"/>
    </row>
    <row r="60" spans="1:29" x14ac:dyDescent="0.3">
      <c r="A60" s="15" t="s">
        <v>103</v>
      </c>
      <c r="B60" s="37" t="s">
        <v>137</v>
      </c>
      <c r="C60" s="32" t="s">
        <v>138</v>
      </c>
      <c r="D60" s="33" t="s">
        <v>68</v>
      </c>
      <c r="E60" s="21" t="s">
        <v>20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22"/>
    </row>
    <row r="61" spans="1:29" ht="28.8" x14ac:dyDescent="0.3">
      <c r="A61" s="19"/>
      <c r="B61" s="30" t="s">
        <v>139</v>
      </c>
      <c r="C61" s="20" t="s">
        <v>140</v>
      </c>
      <c r="D61" s="19" t="s">
        <v>108</v>
      </c>
      <c r="E61" s="23" t="s">
        <v>20</v>
      </c>
      <c r="F61" s="23">
        <v>1</v>
      </c>
      <c r="G61" s="23">
        <f t="shared" si="3"/>
        <v>1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>
        <v>0</v>
      </c>
      <c r="W61" s="23">
        <v>0</v>
      </c>
      <c r="X61" s="23">
        <v>0</v>
      </c>
      <c r="Y61" s="23">
        <v>0</v>
      </c>
      <c r="Z61" s="23">
        <v>1</v>
      </c>
      <c r="AA61" s="23">
        <v>0</v>
      </c>
      <c r="AB61" s="23">
        <v>0</v>
      </c>
      <c r="AC61" s="22"/>
    </row>
    <row r="62" spans="1:29" ht="28.8" x14ac:dyDescent="0.3">
      <c r="A62" s="33"/>
      <c r="B62" s="31" t="s">
        <v>141</v>
      </c>
      <c r="C62" s="34" t="s">
        <v>142</v>
      </c>
      <c r="D62" s="33" t="s">
        <v>108</v>
      </c>
      <c r="E62" s="21" t="s">
        <v>20</v>
      </c>
      <c r="F62" s="21">
        <v>1</v>
      </c>
      <c r="G62" s="21">
        <f t="shared" si="3"/>
        <v>1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1</v>
      </c>
      <c r="AB62" s="21">
        <v>0</v>
      </c>
      <c r="AC62" s="22"/>
    </row>
    <row r="63" spans="1:29" x14ac:dyDescent="0.3">
      <c r="A63" s="15" t="s">
        <v>103</v>
      </c>
      <c r="B63" s="37" t="s">
        <v>143</v>
      </c>
      <c r="C63" s="32" t="s">
        <v>144</v>
      </c>
      <c r="D63" s="33" t="s">
        <v>56</v>
      </c>
      <c r="E63" s="23" t="s">
        <v>20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22"/>
    </row>
    <row r="64" spans="1:29" ht="33" customHeight="1" x14ac:dyDescent="0.3">
      <c r="A64" s="19"/>
      <c r="B64" s="30" t="s">
        <v>145</v>
      </c>
      <c r="C64" s="20" t="s">
        <v>146</v>
      </c>
      <c r="D64" s="19" t="s">
        <v>63</v>
      </c>
      <c r="E64" s="21" t="s">
        <v>20</v>
      </c>
      <c r="F64" s="21">
        <v>1</v>
      </c>
      <c r="G64" s="21">
        <f t="shared" si="3"/>
        <v>1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>
        <v>0.5</v>
      </c>
      <c r="W64" s="21">
        <v>0.5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2"/>
    </row>
    <row r="65" spans="1:29" ht="28.8" x14ac:dyDescent="0.3">
      <c r="A65" s="33"/>
      <c r="B65" s="31" t="s">
        <v>147</v>
      </c>
      <c r="C65" s="34" t="s">
        <v>148</v>
      </c>
      <c r="D65" s="33" t="s">
        <v>19</v>
      </c>
      <c r="E65" s="23" t="s">
        <v>20</v>
      </c>
      <c r="F65" s="23">
        <v>1</v>
      </c>
      <c r="G65" s="23">
        <f t="shared" si="3"/>
        <v>1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>
        <v>0</v>
      </c>
      <c r="W65" s="23">
        <v>0</v>
      </c>
      <c r="X65" s="23">
        <v>0.3</v>
      </c>
      <c r="Y65" s="23">
        <v>0.3</v>
      </c>
      <c r="Z65" s="23">
        <v>0</v>
      </c>
      <c r="AA65" s="23">
        <v>0.4</v>
      </c>
      <c r="AB65" s="23">
        <v>0</v>
      </c>
      <c r="AC65" s="22"/>
    </row>
    <row r="66" spans="1:29" ht="28.8" x14ac:dyDescent="0.3">
      <c r="A66" s="19"/>
      <c r="B66" s="30" t="s">
        <v>149</v>
      </c>
      <c r="C66" s="20" t="s">
        <v>150</v>
      </c>
      <c r="D66" s="19" t="s">
        <v>23</v>
      </c>
      <c r="E66" s="21" t="s">
        <v>20</v>
      </c>
      <c r="F66" s="21">
        <v>1</v>
      </c>
      <c r="G66" s="21">
        <f t="shared" si="3"/>
        <v>1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>
        <v>0</v>
      </c>
      <c r="W66" s="21">
        <v>0</v>
      </c>
      <c r="X66" s="21">
        <v>0</v>
      </c>
      <c r="Y66" s="21">
        <v>0.5</v>
      </c>
      <c r="Z66" s="21">
        <v>0.5</v>
      </c>
      <c r="AA66" s="21">
        <v>0</v>
      </c>
      <c r="AB66" s="21">
        <v>0</v>
      </c>
      <c r="AC66" s="22"/>
    </row>
    <row r="67" spans="1:29" x14ac:dyDescent="0.3">
      <c r="A67" s="46" t="s">
        <v>151</v>
      </c>
      <c r="B67" s="37" t="s">
        <v>152</v>
      </c>
      <c r="C67" s="32" t="s">
        <v>153</v>
      </c>
      <c r="D67" s="33" t="s">
        <v>85</v>
      </c>
      <c r="E67" s="23" t="s">
        <v>20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22"/>
    </row>
    <row r="68" spans="1:29" ht="24" customHeight="1" x14ac:dyDescent="0.3">
      <c r="A68" s="19"/>
      <c r="B68" s="30" t="s">
        <v>154</v>
      </c>
      <c r="C68" s="20" t="s">
        <v>155</v>
      </c>
      <c r="D68" s="19" t="s">
        <v>56</v>
      </c>
      <c r="E68" s="21" t="s">
        <v>20</v>
      </c>
      <c r="F68" s="21">
        <v>1</v>
      </c>
      <c r="G68" s="21">
        <f t="shared" si="3"/>
        <v>1</v>
      </c>
      <c r="H68" s="21">
        <v>0</v>
      </c>
      <c r="I68" s="21">
        <v>0.6</v>
      </c>
      <c r="J68" s="21">
        <v>0.4</v>
      </c>
      <c r="K68" s="21">
        <v>0</v>
      </c>
      <c r="L68" s="21">
        <v>0</v>
      </c>
      <c r="M68" s="21">
        <v>0</v>
      </c>
      <c r="N68" s="21">
        <v>0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2"/>
    </row>
    <row r="69" spans="1:29" ht="34.200000000000003" customHeight="1" x14ac:dyDescent="0.3">
      <c r="A69" s="33"/>
      <c r="B69" s="31" t="s">
        <v>156</v>
      </c>
      <c r="C69" s="34" t="s">
        <v>157</v>
      </c>
      <c r="D69" s="33" t="s">
        <v>56</v>
      </c>
      <c r="E69" s="23" t="s">
        <v>20</v>
      </c>
      <c r="F69" s="23">
        <v>1</v>
      </c>
      <c r="G69" s="23">
        <f t="shared" si="3"/>
        <v>1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>
        <v>0</v>
      </c>
      <c r="W69" s="23">
        <v>0.3</v>
      </c>
      <c r="X69" s="23">
        <v>0.3</v>
      </c>
      <c r="Y69" s="23">
        <v>0</v>
      </c>
      <c r="Z69" s="23">
        <v>0</v>
      </c>
      <c r="AA69" s="23">
        <v>0.4</v>
      </c>
      <c r="AB69" s="23">
        <v>0</v>
      </c>
      <c r="AC69" s="22"/>
    </row>
    <row r="70" spans="1:29" x14ac:dyDescent="0.3">
      <c r="A70" s="19"/>
      <c r="B70" s="30" t="s">
        <v>158</v>
      </c>
      <c r="C70" s="20" t="s">
        <v>159</v>
      </c>
      <c r="D70" s="19" t="s">
        <v>85</v>
      </c>
      <c r="E70" s="21" t="s">
        <v>20</v>
      </c>
      <c r="F70" s="21">
        <v>1</v>
      </c>
      <c r="G70" s="21">
        <f t="shared" si="3"/>
        <v>1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1</v>
      </c>
      <c r="AB70" s="21">
        <v>0</v>
      </c>
      <c r="AC70" s="22"/>
    </row>
    <row r="71" spans="1:29" x14ac:dyDescent="0.3">
      <c r="A71" s="46" t="s">
        <v>151</v>
      </c>
      <c r="B71" s="37" t="s">
        <v>160</v>
      </c>
      <c r="C71" s="32" t="s">
        <v>161</v>
      </c>
      <c r="D71" s="33" t="s">
        <v>56</v>
      </c>
      <c r="E71" s="23" t="s">
        <v>20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22"/>
    </row>
    <row r="72" spans="1:29" ht="28.8" x14ac:dyDescent="0.3">
      <c r="A72" s="19"/>
      <c r="B72" s="30" t="s">
        <v>162</v>
      </c>
      <c r="C72" s="20" t="s">
        <v>163</v>
      </c>
      <c r="D72" s="19" t="s">
        <v>63</v>
      </c>
      <c r="E72" s="21" t="s">
        <v>20</v>
      </c>
      <c r="F72" s="21">
        <v>2</v>
      </c>
      <c r="G72" s="21">
        <f t="shared" si="3"/>
        <v>2</v>
      </c>
      <c r="H72" s="21"/>
      <c r="I72" s="21"/>
      <c r="J72" s="21"/>
      <c r="K72" s="21"/>
      <c r="L72" s="21"/>
      <c r="M72" s="21"/>
      <c r="N72" s="21"/>
      <c r="O72" s="21">
        <v>1</v>
      </c>
      <c r="P72" s="21">
        <v>1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/>
      <c r="W72" s="21"/>
      <c r="X72" s="21"/>
      <c r="Y72" s="21"/>
      <c r="Z72" s="21"/>
      <c r="AA72" s="21"/>
      <c r="AB72" s="21"/>
      <c r="AC72" s="22"/>
    </row>
    <row r="73" spans="1:29" ht="37.950000000000003" customHeight="1" x14ac:dyDescent="0.3">
      <c r="A73" s="33"/>
      <c r="B73" s="31" t="s">
        <v>164</v>
      </c>
      <c r="C73" s="34" t="s">
        <v>165</v>
      </c>
      <c r="D73" s="33" t="s">
        <v>63</v>
      </c>
      <c r="E73" s="23" t="s">
        <v>20</v>
      </c>
      <c r="F73" s="23">
        <v>2</v>
      </c>
      <c r="G73" s="23">
        <f t="shared" ref="G73:G124" si="4">SUM(H73:AB73)</f>
        <v>2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>
        <v>0</v>
      </c>
      <c r="W73" s="23">
        <v>0</v>
      </c>
      <c r="X73" s="23">
        <v>0.9</v>
      </c>
      <c r="Y73" s="23">
        <v>1.1000000000000001</v>
      </c>
      <c r="Z73" s="23">
        <v>0</v>
      </c>
      <c r="AA73" s="23">
        <v>0</v>
      </c>
      <c r="AB73" s="23">
        <v>0</v>
      </c>
      <c r="AC73" s="22"/>
    </row>
    <row r="74" spans="1:29" ht="33.6" customHeight="1" x14ac:dyDescent="0.3">
      <c r="A74" s="19"/>
      <c r="B74" s="30" t="s">
        <v>166</v>
      </c>
      <c r="C74" s="20" t="s">
        <v>167</v>
      </c>
      <c r="D74" s="19" t="s">
        <v>23</v>
      </c>
      <c r="E74" s="21" t="s">
        <v>20</v>
      </c>
      <c r="F74" s="21">
        <v>1</v>
      </c>
      <c r="G74" s="21">
        <f t="shared" si="4"/>
        <v>1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1</v>
      </c>
      <c r="AB74" s="21">
        <v>0</v>
      </c>
      <c r="AC74" s="22"/>
    </row>
    <row r="75" spans="1:29" x14ac:dyDescent="0.3">
      <c r="A75" s="46" t="s">
        <v>151</v>
      </c>
      <c r="B75" s="37" t="s">
        <v>168</v>
      </c>
      <c r="C75" s="32" t="s">
        <v>169</v>
      </c>
      <c r="D75" s="33" t="s">
        <v>85</v>
      </c>
      <c r="E75" s="23" t="s">
        <v>20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22"/>
    </row>
    <row r="76" spans="1:29" ht="28.8" x14ac:dyDescent="0.3">
      <c r="A76" s="19"/>
      <c r="B76" s="30" t="s">
        <v>170</v>
      </c>
      <c r="C76" s="20" t="s">
        <v>171</v>
      </c>
      <c r="D76" s="19" t="s">
        <v>68</v>
      </c>
      <c r="E76" s="21" t="s">
        <v>20</v>
      </c>
      <c r="F76" s="21">
        <v>1</v>
      </c>
      <c r="G76" s="21">
        <f t="shared" si="4"/>
        <v>1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>
        <v>0.2</v>
      </c>
      <c r="W76" s="21">
        <v>0.3</v>
      </c>
      <c r="X76" s="21">
        <v>0.3</v>
      </c>
      <c r="Y76" s="21">
        <v>0.2</v>
      </c>
      <c r="Z76" s="21">
        <v>0</v>
      </c>
      <c r="AA76" s="21">
        <v>0</v>
      </c>
      <c r="AB76" s="21">
        <v>0</v>
      </c>
      <c r="AC76" s="22"/>
    </row>
    <row r="77" spans="1:29" ht="28.8" x14ac:dyDescent="0.3">
      <c r="A77" s="33"/>
      <c r="B77" s="31" t="s">
        <v>172</v>
      </c>
      <c r="C77" s="34" t="s">
        <v>173</v>
      </c>
      <c r="D77" s="33" t="s">
        <v>68</v>
      </c>
      <c r="E77" s="23" t="s">
        <v>20</v>
      </c>
      <c r="F77" s="23">
        <v>1</v>
      </c>
      <c r="G77" s="23">
        <f t="shared" si="4"/>
        <v>1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>
        <v>0</v>
      </c>
      <c r="W77" s="23">
        <v>0</v>
      </c>
      <c r="X77" s="23">
        <v>0</v>
      </c>
      <c r="Y77" s="23">
        <v>0</v>
      </c>
      <c r="Z77" s="23">
        <v>0.5</v>
      </c>
      <c r="AA77" s="23">
        <v>0.5</v>
      </c>
      <c r="AB77" s="23">
        <v>0</v>
      </c>
      <c r="AC77" s="22"/>
    </row>
    <row r="78" spans="1:29" ht="28.8" x14ac:dyDescent="0.3">
      <c r="A78" s="19"/>
      <c r="B78" s="30" t="s">
        <v>174</v>
      </c>
      <c r="C78" s="20" t="s">
        <v>175</v>
      </c>
      <c r="D78" s="19" t="s">
        <v>108</v>
      </c>
      <c r="E78" s="21" t="s">
        <v>20</v>
      </c>
      <c r="F78" s="21">
        <v>1</v>
      </c>
      <c r="G78" s="21">
        <f t="shared" si="4"/>
        <v>1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>
        <v>0</v>
      </c>
      <c r="W78" s="21">
        <v>0</v>
      </c>
      <c r="X78" s="21">
        <v>0</v>
      </c>
      <c r="Y78" s="21">
        <v>0</v>
      </c>
      <c r="Z78" s="21">
        <v>1</v>
      </c>
      <c r="AA78" s="21">
        <v>0</v>
      </c>
      <c r="AB78" s="21">
        <v>0</v>
      </c>
      <c r="AC78" s="22"/>
    </row>
    <row r="79" spans="1:29" ht="21" customHeight="1" x14ac:dyDescent="0.3">
      <c r="A79" s="46" t="s">
        <v>151</v>
      </c>
      <c r="B79" s="37" t="s">
        <v>176</v>
      </c>
      <c r="C79" s="32" t="s">
        <v>177</v>
      </c>
      <c r="D79" s="33" t="s">
        <v>85</v>
      </c>
      <c r="E79" s="23" t="s">
        <v>20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22"/>
    </row>
    <row r="80" spans="1:29" ht="28.8" x14ac:dyDescent="0.3">
      <c r="A80" s="19"/>
      <c r="B80" s="30" t="s">
        <v>178</v>
      </c>
      <c r="C80" s="20" t="s">
        <v>179</v>
      </c>
      <c r="D80" s="19" t="s">
        <v>77</v>
      </c>
      <c r="E80" s="21" t="s">
        <v>20</v>
      </c>
      <c r="F80" s="21">
        <v>2</v>
      </c>
      <c r="G80" s="21">
        <f t="shared" si="4"/>
        <v>2</v>
      </c>
      <c r="H80" s="21">
        <v>0.8</v>
      </c>
      <c r="I80" s="21">
        <v>0.4</v>
      </c>
      <c r="J80" s="21">
        <v>0.8</v>
      </c>
      <c r="K80" s="21">
        <v>0</v>
      </c>
      <c r="L80" s="21">
        <v>0</v>
      </c>
      <c r="M80" s="1">
        <v>0</v>
      </c>
      <c r="N80" s="21">
        <v>0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2"/>
    </row>
    <row r="81" spans="1:29" ht="28.8" x14ac:dyDescent="0.3">
      <c r="A81" s="33"/>
      <c r="B81" s="31" t="s">
        <v>180</v>
      </c>
      <c r="C81" s="34" t="s">
        <v>181</v>
      </c>
      <c r="D81" s="33" t="s">
        <v>85</v>
      </c>
      <c r="E81" s="23" t="s">
        <v>20</v>
      </c>
      <c r="F81" s="23">
        <v>2</v>
      </c>
      <c r="G81" s="23">
        <f t="shared" si="4"/>
        <v>2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>
        <v>0</v>
      </c>
      <c r="W81" s="23">
        <v>0</v>
      </c>
      <c r="X81" s="23">
        <v>0</v>
      </c>
      <c r="Y81" s="23">
        <v>0.5</v>
      </c>
      <c r="Z81" s="23">
        <v>1</v>
      </c>
      <c r="AA81" s="23">
        <v>0.5</v>
      </c>
      <c r="AB81" s="23">
        <v>0</v>
      </c>
      <c r="AC81" s="22"/>
    </row>
    <row r="82" spans="1:29" x14ac:dyDescent="0.3">
      <c r="A82" s="19"/>
      <c r="B82" s="30" t="s">
        <v>182</v>
      </c>
      <c r="C82" s="20" t="s">
        <v>183</v>
      </c>
      <c r="D82" s="19" t="s">
        <v>63</v>
      </c>
      <c r="E82" s="21" t="s">
        <v>20</v>
      </c>
      <c r="F82" s="21">
        <v>1</v>
      </c>
      <c r="G82" s="21">
        <f t="shared" si="4"/>
        <v>1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>
        <v>0</v>
      </c>
      <c r="W82" s="21">
        <v>0</v>
      </c>
      <c r="X82" s="21">
        <v>0</v>
      </c>
      <c r="Y82" s="21">
        <v>0</v>
      </c>
      <c r="Z82" s="21">
        <v>1</v>
      </c>
      <c r="AA82" s="21">
        <v>0</v>
      </c>
      <c r="AB82" s="21">
        <v>0</v>
      </c>
      <c r="AC82" s="22"/>
    </row>
    <row r="83" spans="1:29" x14ac:dyDescent="0.3">
      <c r="A83" s="35" t="s">
        <v>184</v>
      </c>
      <c r="B83" s="37" t="s">
        <v>185</v>
      </c>
      <c r="C83" s="32" t="s">
        <v>186</v>
      </c>
      <c r="D83" s="33" t="s">
        <v>19</v>
      </c>
      <c r="E83" s="23" t="s">
        <v>20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22"/>
    </row>
    <row r="84" spans="1:29" ht="33" customHeight="1" x14ac:dyDescent="0.3">
      <c r="A84" s="19"/>
      <c r="B84" s="30" t="s">
        <v>187</v>
      </c>
      <c r="C84" s="20" t="s">
        <v>188</v>
      </c>
      <c r="D84" s="19" t="s">
        <v>77</v>
      </c>
      <c r="E84" s="21" t="s">
        <v>20</v>
      </c>
      <c r="F84" s="21">
        <v>1</v>
      </c>
      <c r="G84" s="21">
        <f t="shared" si="4"/>
        <v>1</v>
      </c>
      <c r="H84" s="21"/>
      <c r="I84" s="21"/>
      <c r="J84" s="21"/>
      <c r="K84" s="21"/>
      <c r="L84" s="21"/>
      <c r="M84" s="21"/>
      <c r="N84" s="21"/>
      <c r="O84" s="21">
        <v>0.3</v>
      </c>
      <c r="P84" s="21">
        <v>0.3</v>
      </c>
      <c r="Q84" s="21">
        <v>0.4</v>
      </c>
      <c r="R84" s="21">
        <v>0</v>
      </c>
      <c r="S84" s="21">
        <v>0</v>
      </c>
      <c r="T84" s="21">
        <v>0</v>
      </c>
      <c r="U84" s="21">
        <v>0</v>
      </c>
      <c r="V84" s="21"/>
      <c r="W84" s="21"/>
      <c r="X84" s="21"/>
      <c r="Y84" s="21"/>
      <c r="Z84" s="21"/>
      <c r="AA84" s="21"/>
      <c r="AB84" s="21"/>
      <c r="AC84" s="22"/>
    </row>
    <row r="85" spans="1:29" ht="28.8" x14ac:dyDescent="0.3">
      <c r="A85" s="33"/>
      <c r="B85" s="31" t="s">
        <v>189</v>
      </c>
      <c r="C85" s="34" t="s">
        <v>190</v>
      </c>
      <c r="D85" s="33" t="s">
        <v>77</v>
      </c>
      <c r="E85" s="23" t="s">
        <v>20</v>
      </c>
      <c r="F85" s="23">
        <v>1</v>
      </c>
      <c r="G85" s="23">
        <f t="shared" si="4"/>
        <v>1</v>
      </c>
      <c r="H85" s="23"/>
      <c r="I85" s="23"/>
      <c r="J85" s="23"/>
      <c r="K85" s="23"/>
      <c r="L85" s="23"/>
      <c r="M85" s="23"/>
      <c r="N85" s="23"/>
      <c r="O85" s="23">
        <v>0</v>
      </c>
      <c r="P85" s="23">
        <v>0</v>
      </c>
      <c r="Q85" s="23">
        <v>0</v>
      </c>
      <c r="R85" s="23">
        <v>1</v>
      </c>
      <c r="S85" s="23">
        <v>0</v>
      </c>
      <c r="T85" s="23">
        <v>0</v>
      </c>
      <c r="U85" s="23">
        <v>0</v>
      </c>
      <c r="V85" s="23"/>
      <c r="W85" s="23"/>
      <c r="X85" s="23"/>
      <c r="Y85" s="23"/>
      <c r="Z85" s="23"/>
      <c r="AA85" s="23"/>
      <c r="AB85" s="23"/>
      <c r="AC85" s="22"/>
    </row>
    <row r="86" spans="1:29" ht="28.8" x14ac:dyDescent="0.3">
      <c r="A86" s="19"/>
      <c r="B86" s="30" t="s">
        <v>191</v>
      </c>
      <c r="C86" s="20" t="s">
        <v>192</v>
      </c>
      <c r="D86" s="19" t="s">
        <v>42</v>
      </c>
      <c r="E86" s="21" t="s">
        <v>20</v>
      </c>
      <c r="F86" s="21">
        <v>1</v>
      </c>
      <c r="G86" s="21">
        <f t="shared" si="4"/>
        <v>1</v>
      </c>
      <c r="H86" s="21"/>
      <c r="I86" s="21"/>
      <c r="J86" s="21"/>
      <c r="K86" s="21"/>
      <c r="L86" s="21"/>
      <c r="M86" s="21"/>
      <c r="N86" s="21"/>
      <c r="O86" s="21">
        <v>0</v>
      </c>
      <c r="P86" s="21">
        <v>0</v>
      </c>
      <c r="Q86" s="21">
        <v>0</v>
      </c>
      <c r="R86" s="21">
        <v>0</v>
      </c>
      <c r="S86" s="21">
        <v>1</v>
      </c>
      <c r="T86" s="21">
        <v>0</v>
      </c>
      <c r="U86" s="21">
        <v>0</v>
      </c>
      <c r="V86" s="21"/>
      <c r="W86" s="21"/>
      <c r="X86" s="21"/>
      <c r="Y86" s="21"/>
      <c r="Z86" s="21"/>
      <c r="AA86" s="21"/>
      <c r="AB86" s="21"/>
      <c r="AC86" s="22"/>
    </row>
    <row r="87" spans="1:29" x14ac:dyDescent="0.3">
      <c r="A87" s="35" t="s">
        <v>184</v>
      </c>
      <c r="B87" s="37" t="s">
        <v>193</v>
      </c>
      <c r="C87" s="32" t="s">
        <v>194</v>
      </c>
      <c r="D87" s="33" t="s">
        <v>19</v>
      </c>
      <c r="E87" s="23" t="s">
        <v>20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22"/>
    </row>
    <row r="88" spans="1:29" ht="28.8" x14ac:dyDescent="0.3">
      <c r="A88" s="19"/>
      <c r="B88" s="30" t="s">
        <v>195</v>
      </c>
      <c r="C88" s="20" t="s">
        <v>196</v>
      </c>
      <c r="D88" s="19" t="s">
        <v>77</v>
      </c>
      <c r="E88" s="21" t="s">
        <v>20</v>
      </c>
      <c r="F88" s="21">
        <v>1</v>
      </c>
      <c r="G88" s="21">
        <f t="shared" si="4"/>
        <v>1</v>
      </c>
      <c r="H88" s="21"/>
      <c r="I88" s="21"/>
      <c r="J88" s="21"/>
      <c r="K88" s="21"/>
      <c r="L88" s="21"/>
      <c r="M88" s="21"/>
      <c r="N88" s="21"/>
      <c r="O88" s="21">
        <v>0</v>
      </c>
      <c r="P88" s="21">
        <v>1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/>
      <c r="W88" s="21"/>
      <c r="X88" s="21"/>
      <c r="Y88" s="21"/>
      <c r="Z88" s="21"/>
      <c r="AA88" s="21"/>
      <c r="AB88" s="21"/>
      <c r="AC88" s="22"/>
    </row>
    <row r="89" spans="1:29" ht="36" customHeight="1" x14ac:dyDescent="0.3">
      <c r="A89" s="33"/>
      <c r="B89" s="31" t="s">
        <v>197</v>
      </c>
      <c r="C89" s="34" t="s">
        <v>198</v>
      </c>
      <c r="D89" s="33" t="s">
        <v>85</v>
      </c>
      <c r="E89" s="23" t="s">
        <v>20</v>
      </c>
      <c r="F89" s="23">
        <v>1</v>
      </c>
      <c r="G89" s="23">
        <f t="shared" si="4"/>
        <v>1</v>
      </c>
      <c r="H89" s="23"/>
      <c r="I89" s="23"/>
      <c r="J89" s="23"/>
      <c r="K89" s="23"/>
      <c r="L89" s="23"/>
      <c r="M89" s="23"/>
      <c r="N89" s="23"/>
      <c r="O89" s="23">
        <v>0</v>
      </c>
      <c r="P89" s="23">
        <v>0</v>
      </c>
      <c r="Q89" s="23">
        <v>1</v>
      </c>
      <c r="R89" s="23">
        <v>0</v>
      </c>
      <c r="S89" s="23">
        <v>0</v>
      </c>
      <c r="T89" s="23">
        <v>0</v>
      </c>
      <c r="U89" s="23">
        <v>0</v>
      </c>
      <c r="V89" s="23"/>
      <c r="W89" s="23"/>
      <c r="X89" s="23"/>
      <c r="Y89" s="23"/>
      <c r="Z89" s="23"/>
      <c r="AA89" s="23"/>
      <c r="AB89" s="23"/>
      <c r="AC89" s="22"/>
    </row>
    <row r="90" spans="1:29" ht="28.8" x14ac:dyDescent="0.3">
      <c r="A90" s="19"/>
      <c r="B90" s="30" t="s">
        <v>199</v>
      </c>
      <c r="C90" s="20" t="s">
        <v>200</v>
      </c>
      <c r="D90" s="19" t="s">
        <v>63</v>
      </c>
      <c r="E90" s="21" t="s">
        <v>20</v>
      </c>
      <c r="F90" s="21">
        <v>1</v>
      </c>
      <c r="G90" s="21">
        <f t="shared" si="4"/>
        <v>1</v>
      </c>
      <c r="H90" s="21"/>
      <c r="I90" s="21"/>
      <c r="J90" s="21"/>
      <c r="K90" s="21"/>
      <c r="L90" s="21"/>
      <c r="M90" s="21"/>
      <c r="N90" s="21"/>
      <c r="O90" s="21">
        <v>0</v>
      </c>
      <c r="P90" s="21">
        <v>0</v>
      </c>
      <c r="Q90" s="21">
        <v>1</v>
      </c>
      <c r="R90" s="21">
        <v>0</v>
      </c>
      <c r="S90" s="21">
        <v>0</v>
      </c>
      <c r="T90" s="21">
        <v>0</v>
      </c>
      <c r="U90" s="21">
        <v>0</v>
      </c>
      <c r="V90" s="21"/>
      <c r="W90" s="21"/>
      <c r="X90" s="21"/>
      <c r="Y90" s="21"/>
      <c r="Z90" s="21"/>
      <c r="AA90" s="21"/>
      <c r="AB90" s="21"/>
      <c r="AC90" s="22"/>
    </row>
    <row r="91" spans="1:29" x14ac:dyDescent="0.3">
      <c r="A91" s="35" t="s">
        <v>184</v>
      </c>
      <c r="B91" s="37" t="s">
        <v>201</v>
      </c>
      <c r="C91" s="32" t="s">
        <v>202</v>
      </c>
      <c r="D91" s="33" t="s">
        <v>23</v>
      </c>
      <c r="E91" s="23" t="s">
        <v>20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22"/>
    </row>
    <row r="92" spans="1:29" ht="28.8" x14ac:dyDescent="0.3">
      <c r="A92" s="19"/>
      <c r="B92" s="30" t="s">
        <v>203</v>
      </c>
      <c r="C92" s="20" t="s">
        <v>204</v>
      </c>
      <c r="D92" s="19" t="s">
        <v>23</v>
      </c>
      <c r="E92" s="21" t="s">
        <v>20</v>
      </c>
      <c r="F92" s="21">
        <v>1</v>
      </c>
      <c r="G92" s="21">
        <f t="shared" si="4"/>
        <v>1</v>
      </c>
      <c r="H92" s="21"/>
      <c r="I92" s="21"/>
      <c r="J92" s="21"/>
      <c r="K92" s="21"/>
      <c r="L92" s="21"/>
      <c r="M92" s="21"/>
      <c r="N92" s="21"/>
      <c r="O92" s="21">
        <v>0</v>
      </c>
      <c r="P92" s="21">
        <v>1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/>
      <c r="W92" s="21"/>
      <c r="X92" s="21"/>
      <c r="Y92" s="21"/>
      <c r="Z92" s="21"/>
      <c r="AA92" s="21"/>
      <c r="AB92" s="21"/>
      <c r="AC92" s="22"/>
    </row>
    <row r="93" spans="1:29" x14ac:dyDescent="0.3">
      <c r="A93" s="33"/>
      <c r="B93" s="31" t="s">
        <v>205</v>
      </c>
      <c r="C93" s="34" t="s">
        <v>206</v>
      </c>
      <c r="D93" s="33" t="s">
        <v>108</v>
      </c>
      <c r="E93" s="23" t="s">
        <v>20</v>
      </c>
      <c r="F93" s="23">
        <v>1</v>
      </c>
      <c r="G93" s="23">
        <f t="shared" si="4"/>
        <v>1</v>
      </c>
      <c r="H93" s="23"/>
      <c r="I93" s="23"/>
      <c r="J93" s="23"/>
      <c r="K93" s="23"/>
      <c r="L93" s="23"/>
      <c r="M93" s="23"/>
      <c r="N93" s="23"/>
      <c r="O93" s="23">
        <v>0</v>
      </c>
      <c r="P93" s="23">
        <v>0</v>
      </c>
      <c r="Q93" s="23">
        <v>1</v>
      </c>
      <c r="R93" s="23">
        <v>0</v>
      </c>
      <c r="S93" s="23">
        <v>0</v>
      </c>
      <c r="T93" s="23">
        <v>0</v>
      </c>
      <c r="U93" s="23">
        <v>0</v>
      </c>
      <c r="V93" s="23"/>
      <c r="W93" s="23"/>
      <c r="X93" s="23"/>
      <c r="Y93" s="23"/>
      <c r="Z93" s="23"/>
      <c r="AA93" s="23"/>
      <c r="AB93" s="23"/>
      <c r="AC93" s="22"/>
    </row>
    <row r="94" spans="1:29" ht="21" customHeight="1" x14ac:dyDescent="0.3">
      <c r="A94" s="35" t="s">
        <v>184</v>
      </c>
      <c r="B94" s="37" t="s">
        <v>207</v>
      </c>
      <c r="C94" s="32" t="s">
        <v>208</v>
      </c>
      <c r="D94" s="33" t="s">
        <v>23</v>
      </c>
      <c r="E94" s="21" t="s">
        <v>20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22"/>
    </row>
    <row r="95" spans="1:29" ht="28.8" x14ac:dyDescent="0.3">
      <c r="A95" s="19"/>
      <c r="B95" s="30" t="s">
        <v>209</v>
      </c>
      <c r="C95" s="20" t="s">
        <v>210</v>
      </c>
      <c r="D95" s="19" t="s">
        <v>42</v>
      </c>
      <c r="E95" s="23" t="s">
        <v>20</v>
      </c>
      <c r="F95" s="23">
        <v>1</v>
      </c>
      <c r="G95" s="23">
        <f t="shared" si="4"/>
        <v>1</v>
      </c>
      <c r="H95" s="23"/>
      <c r="I95" s="23"/>
      <c r="J95" s="23"/>
      <c r="K95" s="23"/>
      <c r="L95" s="23"/>
      <c r="M95" s="23"/>
      <c r="N95" s="23"/>
      <c r="O95" s="23">
        <v>0</v>
      </c>
      <c r="P95" s="23">
        <v>0</v>
      </c>
      <c r="Q95" s="23">
        <v>0</v>
      </c>
      <c r="R95" s="23">
        <v>1</v>
      </c>
      <c r="S95" s="23">
        <v>0</v>
      </c>
      <c r="T95" s="23">
        <v>0</v>
      </c>
      <c r="U95" s="23">
        <v>0</v>
      </c>
      <c r="V95" s="23"/>
      <c r="W95" s="23"/>
      <c r="X95" s="23"/>
      <c r="Y95" s="23"/>
      <c r="Z95" s="23"/>
      <c r="AA95" s="23"/>
      <c r="AB95" s="23"/>
      <c r="AC95" s="22"/>
    </row>
    <row r="96" spans="1:29" ht="28.8" x14ac:dyDescent="0.3">
      <c r="A96" s="33"/>
      <c r="B96" s="31" t="s">
        <v>211</v>
      </c>
      <c r="C96" s="34" t="s">
        <v>212</v>
      </c>
      <c r="D96" s="33" t="s">
        <v>42</v>
      </c>
      <c r="E96" s="21" t="s">
        <v>20</v>
      </c>
      <c r="F96" s="21">
        <v>1</v>
      </c>
      <c r="G96" s="21">
        <f t="shared" si="4"/>
        <v>1</v>
      </c>
      <c r="H96" s="21"/>
      <c r="I96" s="21"/>
      <c r="J96" s="21"/>
      <c r="K96" s="21"/>
      <c r="L96" s="21"/>
      <c r="M96" s="21"/>
      <c r="N96" s="21"/>
      <c r="O96" s="21">
        <v>0</v>
      </c>
      <c r="P96" s="21">
        <v>0</v>
      </c>
      <c r="Q96" s="21">
        <v>0</v>
      </c>
      <c r="R96" s="21">
        <v>1</v>
      </c>
      <c r="S96" s="21">
        <v>0</v>
      </c>
      <c r="T96" s="21">
        <v>0</v>
      </c>
      <c r="U96" s="21">
        <v>0</v>
      </c>
      <c r="V96" s="21"/>
      <c r="W96" s="21"/>
      <c r="X96" s="21"/>
      <c r="Y96" s="21"/>
      <c r="Z96" s="21"/>
      <c r="AA96" s="21"/>
      <c r="AB96" s="21"/>
      <c r="AC96" s="22"/>
    </row>
    <row r="97" spans="1:29" ht="28.8" x14ac:dyDescent="0.3">
      <c r="A97" s="19"/>
      <c r="B97" s="30" t="s">
        <v>213</v>
      </c>
      <c r="C97" s="20" t="s">
        <v>214</v>
      </c>
      <c r="D97" s="19" t="s">
        <v>108</v>
      </c>
      <c r="E97" s="23" t="s">
        <v>20</v>
      </c>
      <c r="F97" s="23">
        <v>1</v>
      </c>
      <c r="G97" s="23">
        <f t="shared" si="4"/>
        <v>1</v>
      </c>
      <c r="H97" s="23"/>
      <c r="I97" s="23"/>
      <c r="J97" s="23"/>
      <c r="K97" s="23"/>
      <c r="L97" s="23"/>
      <c r="M97" s="23"/>
      <c r="N97" s="23"/>
      <c r="O97" s="23">
        <v>0</v>
      </c>
      <c r="P97" s="23">
        <v>0</v>
      </c>
      <c r="Q97" s="23">
        <v>0</v>
      </c>
      <c r="R97" s="23">
        <v>0.3</v>
      </c>
      <c r="S97" s="23">
        <v>0.3</v>
      </c>
      <c r="T97" s="23">
        <v>0.4</v>
      </c>
      <c r="U97" s="23">
        <v>0</v>
      </c>
      <c r="V97" s="23"/>
      <c r="W97" s="23"/>
      <c r="X97" s="23"/>
      <c r="Y97" s="23"/>
      <c r="Z97" s="23"/>
      <c r="AA97" s="23"/>
      <c r="AB97" s="23"/>
      <c r="AC97" s="22"/>
    </row>
    <row r="98" spans="1:29" x14ac:dyDescent="0.3">
      <c r="A98" s="35" t="s">
        <v>184</v>
      </c>
      <c r="B98" s="37" t="s">
        <v>215</v>
      </c>
      <c r="C98" s="32" t="s">
        <v>216</v>
      </c>
      <c r="D98" s="33" t="s">
        <v>63</v>
      </c>
      <c r="E98" s="21" t="s">
        <v>20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22"/>
    </row>
    <row r="99" spans="1:29" ht="35.4" customHeight="1" x14ac:dyDescent="0.3">
      <c r="A99" s="19"/>
      <c r="B99" s="30" t="s">
        <v>217</v>
      </c>
      <c r="C99" s="20" t="s">
        <v>218</v>
      </c>
      <c r="D99" s="19" t="s">
        <v>19</v>
      </c>
      <c r="E99" s="23" t="s">
        <v>20</v>
      </c>
      <c r="F99" s="23">
        <v>2</v>
      </c>
      <c r="G99" s="23">
        <f t="shared" si="4"/>
        <v>2</v>
      </c>
      <c r="H99" s="23"/>
      <c r="I99" s="23"/>
      <c r="J99" s="23"/>
      <c r="K99" s="23"/>
      <c r="L99" s="23"/>
      <c r="M99" s="23"/>
      <c r="N99" s="23"/>
      <c r="O99" s="23">
        <v>0</v>
      </c>
      <c r="P99" s="23">
        <v>0</v>
      </c>
      <c r="Q99" s="23">
        <v>0</v>
      </c>
      <c r="R99" s="23">
        <v>2</v>
      </c>
      <c r="S99" s="23">
        <v>0</v>
      </c>
      <c r="T99" s="23">
        <v>0</v>
      </c>
      <c r="U99" s="23">
        <v>0</v>
      </c>
      <c r="V99" s="23"/>
      <c r="W99" s="23"/>
      <c r="X99" s="23"/>
      <c r="Y99" s="23"/>
      <c r="Z99" s="23"/>
      <c r="AA99" s="23"/>
      <c r="AB99" s="23"/>
      <c r="AC99" s="22"/>
    </row>
    <row r="100" spans="1:29" ht="28.8" x14ac:dyDescent="0.3">
      <c r="A100" s="33"/>
      <c r="B100" s="31" t="s">
        <v>219</v>
      </c>
      <c r="C100" s="34" t="s">
        <v>220</v>
      </c>
      <c r="D100" s="33" t="s">
        <v>19</v>
      </c>
      <c r="E100" s="21" t="s">
        <v>20</v>
      </c>
      <c r="F100" s="21">
        <v>2</v>
      </c>
      <c r="G100" s="21">
        <f t="shared" si="4"/>
        <v>2</v>
      </c>
      <c r="H100" s="21"/>
      <c r="I100" s="21"/>
      <c r="J100" s="21"/>
      <c r="K100" s="21"/>
      <c r="L100" s="21"/>
      <c r="M100" s="21"/>
      <c r="N100" s="21"/>
      <c r="O100" s="21">
        <v>0</v>
      </c>
      <c r="P100" s="21">
        <v>0</v>
      </c>
      <c r="Q100" s="21">
        <v>0</v>
      </c>
      <c r="R100" s="21">
        <v>2</v>
      </c>
      <c r="S100" s="21">
        <v>0</v>
      </c>
      <c r="T100" s="21">
        <v>0</v>
      </c>
      <c r="U100" s="21">
        <v>0</v>
      </c>
      <c r="V100" s="21"/>
      <c r="W100" s="21"/>
      <c r="X100" s="21"/>
      <c r="Y100" s="21"/>
      <c r="Z100" s="21"/>
      <c r="AA100" s="21"/>
      <c r="AB100" s="21"/>
      <c r="AC100" s="22"/>
    </row>
    <row r="101" spans="1:29" ht="28.8" x14ac:dyDescent="0.3">
      <c r="A101" s="19"/>
      <c r="B101" s="30" t="s">
        <v>221</v>
      </c>
      <c r="C101" s="20" t="s">
        <v>222</v>
      </c>
      <c r="D101" s="19" t="s">
        <v>85</v>
      </c>
      <c r="E101" s="23" t="s">
        <v>20</v>
      </c>
      <c r="F101" s="23">
        <v>1</v>
      </c>
      <c r="G101" s="23">
        <f t="shared" si="4"/>
        <v>1</v>
      </c>
      <c r="H101" s="23"/>
      <c r="I101" s="23"/>
      <c r="J101" s="23"/>
      <c r="K101" s="23"/>
      <c r="L101" s="23"/>
      <c r="M101" s="23"/>
      <c r="N101" s="23"/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1</v>
      </c>
      <c r="U101" s="23">
        <v>0</v>
      </c>
      <c r="V101" s="23"/>
      <c r="W101" s="23"/>
      <c r="X101" s="23"/>
      <c r="Y101" s="23"/>
      <c r="Z101" s="23"/>
      <c r="AA101" s="23"/>
      <c r="AB101" s="23"/>
      <c r="AC101" s="22"/>
    </row>
    <row r="102" spans="1:29" x14ac:dyDescent="0.3">
      <c r="A102" s="35" t="s">
        <v>184</v>
      </c>
      <c r="B102" s="37" t="s">
        <v>223</v>
      </c>
      <c r="C102" s="32" t="s">
        <v>224</v>
      </c>
      <c r="D102" s="33" t="s">
        <v>19</v>
      </c>
      <c r="E102" s="21" t="s">
        <v>20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22"/>
    </row>
    <row r="103" spans="1:29" ht="28.8" x14ac:dyDescent="0.3">
      <c r="A103" s="19"/>
      <c r="B103" s="30" t="s">
        <v>225</v>
      </c>
      <c r="C103" s="20" t="s">
        <v>226</v>
      </c>
      <c r="D103" s="19" t="s">
        <v>77</v>
      </c>
      <c r="E103" s="23" t="s">
        <v>20</v>
      </c>
      <c r="F103" s="23">
        <v>1</v>
      </c>
      <c r="G103" s="23">
        <f t="shared" si="4"/>
        <v>1</v>
      </c>
      <c r="H103" s="23"/>
      <c r="I103" s="23"/>
      <c r="J103" s="23"/>
      <c r="K103" s="23"/>
      <c r="L103" s="23"/>
      <c r="M103" s="23"/>
      <c r="N103" s="23"/>
      <c r="O103" s="23">
        <v>0</v>
      </c>
      <c r="P103" s="23">
        <v>0</v>
      </c>
      <c r="Q103" s="23">
        <v>0</v>
      </c>
      <c r="R103" s="23">
        <v>0</v>
      </c>
      <c r="S103" s="23">
        <v>1</v>
      </c>
      <c r="T103" s="23">
        <v>0</v>
      </c>
      <c r="U103" s="23">
        <v>0</v>
      </c>
      <c r="V103" s="23"/>
      <c r="W103" s="23"/>
      <c r="X103" s="23"/>
      <c r="Y103" s="23"/>
      <c r="Z103" s="23"/>
      <c r="AA103" s="23"/>
      <c r="AB103" s="23"/>
      <c r="AC103" s="22"/>
    </row>
    <row r="104" spans="1:29" ht="34.950000000000003" customHeight="1" x14ac:dyDescent="0.3">
      <c r="A104" s="33"/>
      <c r="B104" s="31" t="s">
        <v>227</v>
      </c>
      <c r="C104" s="34" t="s">
        <v>228</v>
      </c>
      <c r="D104" s="33" t="s">
        <v>56</v>
      </c>
      <c r="E104" s="21" t="s">
        <v>20</v>
      </c>
      <c r="F104" s="21">
        <v>1</v>
      </c>
      <c r="G104" s="21">
        <f t="shared" si="4"/>
        <v>1</v>
      </c>
      <c r="H104" s="21"/>
      <c r="I104" s="21"/>
      <c r="J104" s="21"/>
      <c r="K104" s="21"/>
      <c r="L104" s="21"/>
      <c r="M104" s="21"/>
      <c r="N104" s="21"/>
      <c r="O104" s="21">
        <v>0</v>
      </c>
      <c r="P104" s="21">
        <v>0</v>
      </c>
      <c r="Q104" s="21">
        <v>0</v>
      </c>
      <c r="R104" s="21">
        <v>0.4</v>
      </c>
      <c r="S104" s="21">
        <v>0.6</v>
      </c>
      <c r="T104" s="21">
        <v>0</v>
      </c>
      <c r="U104" s="21">
        <v>0</v>
      </c>
      <c r="V104" s="21"/>
      <c r="W104" s="21"/>
      <c r="X104" s="21"/>
      <c r="Y104" s="21"/>
      <c r="Z104" s="21"/>
      <c r="AA104" s="21"/>
      <c r="AB104" s="21"/>
      <c r="AC104" s="22"/>
    </row>
    <row r="105" spans="1:29" x14ac:dyDescent="0.3">
      <c r="A105" s="35" t="s">
        <v>184</v>
      </c>
      <c r="B105" s="37" t="s">
        <v>229</v>
      </c>
      <c r="C105" s="32" t="s">
        <v>230</v>
      </c>
      <c r="D105" s="33" t="s">
        <v>56</v>
      </c>
      <c r="E105" s="23" t="s">
        <v>20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22"/>
    </row>
    <row r="106" spans="1:29" ht="28.8" x14ac:dyDescent="0.3">
      <c r="A106" s="19"/>
      <c r="B106" s="30" t="s">
        <v>231</v>
      </c>
      <c r="C106" s="20" t="s">
        <v>232</v>
      </c>
      <c r="D106" s="19" t="s">
        <v>68</v>
      </c>
      <c r="E106" s="21" t="s">
        <v>20</v>
      </c>
      <c r="F106" s="21">
        <v>1</v>
      </c>
      <c r="G106" s="21">
        <f t="shared" si="4"/>
        <v>1</v>
      </c>
      <c r="H106" s="21"/>
      <c r="I106" s="21"/>
      <c r="J106" s="21"/>
      <c r="K106" s="21"/>
      <c r="L106" s="21"/>
      <c r="M106" s="21"/>
      <c r="N106" s="21"/>
      <c r="O106" s="21">
        <v>0.3</v>
      </c>
      <c r="P106" s="21">
        <v>0.3</v>
      </c>
      <c r="Q106" s="21">
        <v>0</v>
      </c>
      <c r="R106" s="21">
        <v>0</v>
      </c>
      <c r="S106" s="21">
        <v>0.4</v>
      </c>
      <c r="T106" s="21">
        <v>0</v>
      </c>
      <c r="U106" s="21">
        <v>0</v>
      </c>
      <c r="V106" s="21"/>
      <c r="W106" s="21"/>
      <c r="X106" s="21"/>
      <c r="Y106" s="21"/>
      <c r="Z106" s="21"/>
      <c r="AA106" s="21"/>
      <c r="AB106" s="21"/>
      <c r="AC106" s="22"/>
    </row>
    <row r="107" spans="1:29" ht="28.8" x14ac:dyDescent="0.3">
      <c r="A107" s="33"/>
      <c r="B107" s="31" t="s">
        <v>233</v>
      </c>
      <c r="C107" s="34" t="s">
        <v>234</v>
      </c>
      <c r="D107" s="33" t="s">
        <v>23</v>
      </c>
      <c r="E107" s="23" t="s">
        <v>20</v>
      </c>
      <c r="F107" s="23">
        <v>1</v>
      </c>
      <c r="G107" s="23">
        <f t="shared" si="4"/>
        <v>1</v>
      </c>
      <c r="H107" s="23"/>
      <c r="I107" s="23"/>
      <c r="J107" s="23"/>
      <c r="K107" s="23"/>
      <c r="L107" s="23"/>
      <c r="M107" s="23"/>
      <c r="N107" s="23"/>
      <c r="O107" s="23">
        <v>0</v>
      </c>
      <c r="P107" s="23">
        <v>0</v>
      </c>
      <c r="Q107" s="23">
        <v>0</v>
      </c>
      <c r="R107" s="23">
        <v>0</v>
      </c>
      <c r="S107" s="23">
        <v>1</v>
      </c>
      <c r="T107" s="23">
        <v>0</v>
      </c>
      <c r="U107" s="23">
        <v>0</v>
      </c>
      <c r="V107" s="23"/>
      <c r="W107" s="23"/>
      <c r="X107" s="23"/>
      <c r="Y107" s="23"/>
      <c r="Z107" s="23"/>
      <c r="AA107" s="23"/>
      <c r="AB107" s="23"/>
      <c r="AC107" s="22"/>
    </row>
    <row r="108" spans="1:29" ht="28.8" x14ac:dyDescent="0.3">
      <c r="A108" s="19"/>
      <c r="B108" s="30" t="s">
        <v>235</v>
      </c>
      <c r="C108" s="20" t="s">
        <v>236</v>
      </c>
      <c r="D108" s="19" t="s">
        <v>68</v>
      </c>
      <c r="E108" s="21" t="s">
        <v>20</v>
      </c>
      <c r="F108" s="21">
        <v>1</v>
      </c>
      <c r="G108" s="21">
        <f t="shared" si="4"/>
        <v>1</v>
      </c>
      <c r="H108" s="21"/>
      <c r="I108" s="21"/>
      <c r="J108" s="21"/>
      <c r="K108" s="21"/>
      <c r="L108" s="21"/>
      <c r="M108" s="21"/>
      <c r="N108" s="21"/>
      <c r="O108" s="21">
        <v>0</v>
      </c>
      <c r="P108" s="21">
        <v>0</v>
      </c>
      <c r="Q108" s="21">
        <v>0</v>
      </c>
      <c r="R108" s="21">
        <v>0</v>
      </c>
      <c r="S108" s="21">
        <v>1</v>
      </c>
      <c r="T108" s="21">
        <v>0</v>
      </c>
      <c r="U108" s="21">
        <v>0</v>
      </c>
      <c r="V108" s="21"/>
      <c r="W108" s="21"/>
      <c r="X108" s="21"/>
      <c r="Y108" s="21"/>
      <c r="Z108" s="21"/>
      <c r="AA108" s="21"/>
      <c r="AB108" s="21"/>
      <c r="AC108" s="22"/>
    </row>
    <row r="109" spans="1:29" ht="21" customHeight="1" x14ac:dyDescent="0.3">
      <c r="A109" s="35" t="s">
        <v>184</v>
      </c>
      <c r="B109" s="37" t="s">
        <v>237</v>
      </c>
      <c r="C109" s="32" t="s">
        <v>238</v>
      </c>
      <c r="D109" s="33" t="s">
        <v>68</v>
      </c>
      <c r="E109" s="23" t="s">
        <v>20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22"/>
    </row>
    <row r="110" spans="1:29" ht="28.8" x14ac:dyDescent="0.3">
      <c r="A110" s="19"/>
      <c r="B110" s="30" t="s">
        <v>239</v>
      </c>
      <c r="C110" s="20" t="s">
        <v>240</v>
      </c>
      <c r="D110" s="19" t="s">
        <v>68</v>
      </c>
      <c r="E110" s="21" t="s">
        <v>20</v>
      </c>
      <c r="F110" s="21">
        <v>2</v>
      </c>
      <c r="G110" s="21">
        <f t="shared" si="4"/>
        <v>2</v>
      </c>
      <c r="H110" s="21"/>
      <c r="I110" s="21"/>
      <c r="J110" s="21"/>
      <c r="K110" s="21"/>
      <c r="L110" s="21"/>
      <c r="M110" s="21"/>
      <c r="N110" s="21"/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1</v>
      </c>
      <c r="U110" s="21">
        <v>1</v>
      </c>
      <c r="V110" s="21"/>
      <c r="W110" s="21"/>
      <c r="X110" s="21"/>
      <c r="Y110" s="21"/>
      <c r="Z110" s="21"/>
      <c r="AA110" s="21"/>
      <c r="AB110" s="21"/>
      <c r="AC110" s="22"/>
    </row>
    <row r="111" spans="1:29" ht="28.8" x14ac:dyDescent="0.3">
      <c r="A111" s="33"/>
      <c r="B111" s="31" t="s">
        <v>241</v>
      </c>
      <c r="C111" s="34" t="s">
        <v>242</v>
      </c>
      <c r="D111" s="33" t="s">
        <v>23</v>
      </c>
      <c r="E111" s="23" t="s">
        <v>20</v>
      </c>
      <c r="F111" s="23">
        <v>2</v>
      </c>
      <c r="G111" s="23">
        <f t="shared" si="4"/>
        <v>2</v>
      </c>
      <c r="H111" s="23"/>
      <c r="I111" s="23"/>
      <c r="J111" s="23"/>
      <c r="K111" s="23"/>
      <c r="L111" s="23"/>
      <c r="M111" s="23"/>
      <c r="N111" s="23"/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2</v>
      </c>
      <c r="V111" s="23"/>
      <c r="W111" s="23"/>
      <c r="X111" s="23"/>
      <c r="Y111" s="23"/>
      <c r="Z111" s="23"/>
      <c r="AA111" s="23"/>
      <c r="AB111" s="23"/>
      <c r="AC111" s="22"/>
    </row>
    <row r="112" spans="1:29" ht="28.8" x14ac:dyDescent="0.3">
      <c r="A112" s="19"/>
      <c r="B112" s="30" t="s">
        <v>243</v>
      </c>
      <c r="C112" s="20" t="s">
        <v>244</v>
      </c>
      <c r="D112" s="19" t="s">
        <v>108</v>
      </c>
      <c r="E112" s="21" t="s">
        <v>20</v>
      </c>
      <c r="F112" s="21">
        <v>1</v>
      </c>
      <c r="G112" s="21">
        <f t="shared" si="4"/>
        <v>1</v>
      </c>
      <c r="H112" s="21"/>
      <c r="I112" s="21"/>
      <c r="J112" s="21"/>
      <c r="K112" s="21"/>
      <c r="L112" s="21"/>
      <c r="M112" s="21"/>
      <c r="N112" s="21"/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1</v>
      </c>
      <c r="V112" s="21"/>
      <c r="W112" s="21"/>
      <c r="X112" s="21"/>
      <c r="Y112" s="21"/>
      <c r="Z112" s="21"/>
      <c r="AA112" s="21"/>
      <c r="AB112" s="21"/>
      <c r="AC112" s="22"/>
    </row>
    <row r="113" spans="1:29" x14ac:dyDescent="0.3">
      <c r="A113" s="47" t="s">
        <v>245</v>
      </c>
      <c r="B113" s="37" t="s">
        <v>246</v>
      </c>
      <c r="C113" s="17" t="s">
        <v>247</v>
      </c>
      <c r="D113" s="33" t="s">
        <v>23</v>
      </c>
      <c r="E113" s="23" t="s">
        <v>20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22"/>
    </row>
    <row r="114" spans="1:29" ht="31.2" customHeight="1" x14ac:dyDescent="0.3">
      <c r="A114" s="19"/>
      <c r="B114" s="48" t="s">
        <v>248</v>
      </c>
      <c r="C114" s="20" t="s">
        <v>249</v>
      </c>
      <c r="D114" s="19" t="s">
        <v>68</v>
      </c>
      <c r="E114" s="21" t="s">
        <v>20</v>
      </c>
      <c r="F114" s="21">
        <v>2</v>
      </c>
      <c r="G114" s="21">
        <f t="shared" si="4"/>
        <v>2</v>
      </c>
      <c r="H114" s="21">
        <v>1</v>
      </c>
      <c r="I114" s="21">
        <v>1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2"/>
    </row>
    <row r="115" spans="1:29" ht="28.8" x14ac:dyDescent="0.3">
      <c r="A115" s="33"/>
      <c r="B115" s="45" t="s">
        <v>250</v>
      </c>
      <c r="C115" s="34" t="s">
        <v>251</v>
      </c>
      <c r="D115" s="33" t="s">
        <v>68</v>
      </c>
      <c r="E115" s="23" t="s">
        <v>20</v>
      </c>
      <c r="F115" s="23">
        <v>2</v>
      </c>
      <c r="G115" s="23">
        <f t="shared" si="4"/>
        <v>2</v>
      </c>
      <c r="H115" s="23">
        <v>0</v>
      </c>
      <c r="I115" s="23">
        <v>0</v>
      </c>
      <c r="J115" s="23">
        <v>1.2</v>
      </c>
      <c r="K115" s="23">
        <v>0.8</v>
      </c>
      <c r="L115" s="23">
        <v>0</v>
      </c>
      <c r="M115" s="23">
        <v>0</v>
      </c>
      <c r="N115" s="23">
        <v>0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2"/>
    </row>
    <row r="116" spans="1:29" x14ac:dyDescent="0.3">
      <c r="A116" s="19"/>
      <c r="B116" s="48" t="s">
        <v>252</v>
      </c>
      <c r="C116" s="20" t="s">
        <v>253</v>
      </c>
      <c r="D116" s="19" t="s">
        <v>42</v>
      </c>
      <c r="E116" s="21" t="s">
        <v>20</v>
      </c>
      <c r="F116" s="21">
        <v>1</v>
      </c>
      <c r="G116" s="21">
        <f t="shared" si="4"/>
        <v>1</v>
      </c>
      <c r="H116" s="21">
        <v>0</v>
      </c>
      <c r="I116" s="21">
        <v>0</v>
      </c>
      <c r="J116" s="21">
        <v>0</v>
      </c>
      <c r="K116" s="21">
        <v>0</v>
      </c>
      <c r="L116" s="21">
        <v>1</v>
      </c>
      <c r="M116" s="21">
        <v>0</v>
      </c>
      <c r="N116" s="21">
        <v>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2"/>
    </row>
    <row r="117" spans="1:29" x14ac:dyDescent="0.3">
      <c r="A117" s="47" t="s">
        <v>245</v>
      </c>
      <c r="B117" s="37" t="s">
        <v>254</v>
      </c>
      <c r="C117" s="17" t="s">
        <v>255</v>
      </c>
      <c r="D117" s="33" t="s">
        <v>23</v>
      </c>
      <c r="E117" s="23" t="s">
        <v>20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22"/>
    </row>
    <row r="118" spans="1:29" x14ac:dyDescent="0.3">
      <c r="A118" s="19"/>
      <c r="B118" s="48" t="s">
        <v>256</v>
      </c>
      <c r="C118" s="20" t="s">
        <v>257</v>
      </c>
      <c r="D118" s="19" t="s">
        <v>85</v>
      </c>
      <c r="E118" s="21" t="s">
        <v>20</v>
      </c>
      <c r="F118" s="21">
        <v>3</v>
      </c>
      <c r="G118" s="21">
        <f t="shared" si="4"/>
        <v>3</v>
      </c>
      <c r="H118" s="21">
        <v>0</v>
      </c>
      <c r="I118" s="21">
        <v>1</v>
      </c>
      <c r="J118" s="21">
        <v>0.5</v>
      </c>
      <c r="K118" s="21">
        <v>0.5</v>
      </c>
      <c r="L118" s="21">
        <v>1</v>
      </c>
      <c r="M118" s="21">
        <v>0</v>
      </c>
      <c r="N118" s="21">
        <v>0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2"/>
    </row>
    <row r="119" spans="1:29" ht="30.6" customHeight="1" x14ac:dyDescent="0.3">
      <c r="A119" s="33"/>
      <c r="B119" s="45" t="s">
        <v>258</v>
      </c>
      <c r="C119" s="34" t="s">
        <v>259</v>
      </c>
      <c r="D119" s="33" t="s">
        <v>77</v>
      </c>
      <c r="E119" s="23" t="s">
        <v>20</v>
      </c>
      <c r="F119" s="23">
        <v>3</v>
      </c>
      <c r="G119" s="23">
        <f t="shared" si="4"/>
        <v>3</v>
      </c>
      <c r="H119" s="23">
        <v>0</v>
      </c>
      <c r="I119" s="23">
        <v>0</v>
      </c>
      <c r="J119" s="23">
        <v>0</v>
      </c>
      <c r="K119" s="23">
        <v>1</v>
      </c>
      <c r="L119" s="23">
        <v>2</v>
      </c>
      <c r="M119" s="23">
        <v>0</v>
      </c>
      <c r="N119" s="23">
        <v>0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2"/>
    </row>
    <row r="120" spans="1:29" x14ac:dyDescent="0.3">
      <c r="A120" s="19"/>
      <c r="B120" s="48" t="s">
        <v>260</v>
      </c>
      <c r="C120" s="20" t="s">
        <v>261</v>
      </c>
      <c r="D120" s="19" t="s">
        <v>42</v>
      </c>
      <c r="E120" s="21" t="s">
        <v>20</v>
      </c>
      <c r="F120" s="21">
        <v>2</v>
      </c>
      <c r="G120" s="21">
        <f t="shared" si="4"/>
        <v>2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2</v>
      </c>
      <c r="N120" s="21">
        <v>0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2"/>
    </row>
    <row r="121" spans="1:29" x14ac:dyDescent="0.3">
      <c r="A121" s="47" t="s">
        <v>245</v>
      </c>
      <c r="B121" s="37" t="s">
        <v>262</v>
      </c>
      <c r="C121" s="17" t="s">
        <v>263</v>
      </c>
      <c r="D121" s="33" t="s">
        <v>23</v>
      </c>
      <c r="E121" s="23" t="s">
        <v>20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22"/>
    </row>
    <row r="122" spans="1:29" x14ac:dyDescent="0.3">
      <c r="A122" s="19"/>
      <c r="B122" s="48" t="s">
        <v>264</v>
      </c>
      <c r="C122" s="20" t="s">
        <v>265</v>
      </c>
      <c r="D122" s="19" t="s">
        <v>77</v>
      </c>
      <c r="E122" s="21" t="s">
        <v>20</v>
      </c>
      <c r="F122" s="21">
        <v>2</v>
      </c>
      <c r="G122" s="21">
        <f t="shared" si="4"/>
        <v>2</v>
      </c>
      <c r="H122" s="21">
        <v>0.8</v>
      </c>
      <c r="I122" s="21">
        <v>1.2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2"/>
    </row>
    <row r="123" spans="1:29" ht="28.8" x14ac:dyDescent="0.3">
      <c r="A123" s="33"/>
      <c r="B123" s="45" t="s">
        <v>266</v>
      </c>
      <c r="C123" s="34" t="s">
        <v>267</v>
      </c>
      <c r="D123" s="33" t="s">
        <v>68</v>
      </c>
      <c r="E123" s="23" t="s">
        <v>20</v>
      </c>
      <c r="F123" s="23">
        <v>2</v>
      </c>
      <c r="G123" s="23">
        <f t="shared" si="4"/>
        <v>2</v>
      </c>
      <c r="H123" s="23">
        <v>0</v>
      </c>
      <c r="I123" s="23">
        <v>0</v>
      </c>
      <c r="J123" s="23">
        <v>2</v>
      </c>
      <c r="K123" s="23">
        <v>0</v>
      </c>
      <c r="L123" s="23">
        <v>0</v>
      </c>
      <c r="M123" s="23">
        <v>0</v>
      </c>
      <c r="N123" s="23">
        <v>0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2"/>
    </row>
    <row r="124" spans="1:29" ht="31.2" customHeight="1" x14ac:dyDescent="0.3">
      <c r="A124" s="19"/>
      <c r="B124" s="48" t="s">
        <v>268</v>
      </c>
      <c r="C124" s="20" t="s">
        <v>269</v>
      </c>
      <c r="D124" s="19" t="s">
        <v>42</v>
      </c>
      <c r="E124" s="21" t="s">
        <v>20</v>
      </c>
      <c r="F124" s="21">
        <v>1</v>
      </c>
      <c r="G124" s="21">
        <f t="shared" si="4"/>
        <v>1</v>
      </c>
      <c r="H124" s="21">
        <v>0</v>
      </c>
      <c r="I124" s="21">
        <v>0</v>
      </c>
      <c r="J124" s="21">
        <v>0</v>
      </c>
      <c r="K124" s="21">
        <v>0.4</v>
      </c>
      <c r="L124" s="21">
        <v>0.6</v>
      </c>
      <c r="M124" s="21">
        <v>0</v>
      </c>
      <c r="N124" s="21">
        <v>0</v>
      </c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2"/>
    </row>
    <row r="129" ht="21" customHeight="1" x14ac:dyDescent="0.3"/>
    <row r="134" ht="21" customHeight="1" x14ac:dyDescent="0.3"/>
    <row r="139" ht="21" customHeight="1" x14ac:dyDescent="0.3"/>
    <row r="144" ht="21" customHeight="1" x14ac:dyDescent="0.3"/>
    <row r="149" ht="21" customHeight="1" x14ac:dyDescent="0.3"/>
    <row r="154" ht="21" customHeight="1" x14ac:dyDescent="0.3"/>
    <row r="159" ht="21" customHeight="1" x14ac:dyDescent="0.3"/>
    <row r="164" ht="21" customHeight="1" x14ac:dyDescent="0.3"/>
    <row r="169" ht="21" customHeight="1" x14ac:dyDescent="0.3"/>
    <row r="179" ht="21" customHeight="1" x14ac:dyDescent="0.3"/>
    <row r="184" ht="21" customHeight="1" x14ac:dyDescent="0.3"/>
    <row r="189" ht="21" customHeight="1" x14ac:dyDescent="0.3"/>
    <row r="194" ht="21" customHeight="1" x14ac:dyDescent="0.3"/>
    <row r="199" ht="21" customHeight="1" x14ac:dyDescent="0.3"/>
    <row r="204" ht="21" customHeight="1" x14ac:dyDescent="0.3"/>
    <row r="209" ht="21" customHeight="1" x14ac:dyDescent="0.3"/>
    <row r="214" ht="21" customHeight="1" x14ac:dyDescent="0.3"/>
    <row r="219" ht="21" customHeight="1" x14ac:dyDescent="0.3"/>
    <row r="224" ht="21" customHeight="1" x14ac:dyDescent="0.3"/>
    <row r="229" ht="21" customHeight="1" x14ac:dyDescent="0.3"/>
    <row r="234" ht="21" customHeight="1" x14ac:dyDescent="0.3"/>
    <row r="239" ht="21" customHeight="1" x14ac:dyDescent="0.3"/>
    <row r="244" ht="21" customHeight="1" x14ac:dyDescent="0.3"/>
    <row r="249" ht="21" customHeight="1" x14ac:dyDescent="0.3"/>
    <row r="254" ht="21" customHeight="1" x14ac:dyDescent="0.3"/>
    <row r="259" ht="21" customHeight="1" x14ac:dyDescent="0.3"/>
    <row r="264" ht="21" customHeight="1" x14ac:dyDescent="0.3"/>
    <row r="269" ht="21" customHeight="1" x14ac:dyDescent="0.3"/>
    <row r="274" ht="21" customHeight="1" x14ac:dyDescent="0.3"/>
    <row r="279" ht="21" customHeight="1" x14ac:dyDescent="0.3"/>
    <row r="284" ht="21" customHeight="1" x14ac:dyDescent="0.3"/>
    <row r="289" ht="21" customHeight="1" x14ac:dyDescent="0.3"/>
    <row r="294" ht="21" customHeight="1" x14ac:dyDescent="0.3"/>
    <row r="299" ht="21" customHeight="1" x14ac:dyDescent="0.3"/>
    <row r="304" ht="21" customHeight="1" x14ac:dyDescent="0.3"/>
    <row r="309" ht="21" customHeight="1" x14ac:dyDescent="0.3"/>
    <row r="314" ht="21" customHeight="1" x14ac:dyDescent="0.3"/>
    <row r="319" ht="21" customHeight="1" x14ac:dyDescent="0.3"/>
    <row r="324" ht="21" customHeight="1" x14ac:dyDescent="0.3"/>
    <row r="329" ht="21" customHeight="1" x14ac:dyDescent="0.3"/>
    <row r="339" ht="21" customHeight="1" x14ac:dyDescent="0.3"/>
    <row r="344" ht="21" customHeight="1" x14ac:dyDescent="0.3"/>
    <row r="349" ht="21" customHeight="1" x14ac:dyDescent="0.3"/>
    <row r="354" ht="21" customHeight="1" x14ac:dyDescent="0.3"/>
    <row r="359" ht="21" customHeight="1" x14ac:dyDescent="0.3"/>
    <row r="364" ht="21" customHeight="1" x14ac:dyDescent="0.3"/>
    <row r="369" ht="21" customHeight="1" x14ac:dyDescent="0.3"/>
    <row r="374" ht="21" customHeight="1" x14ac:dyDescent="0.3"/>
    <row r="379" ht="21" customHeight="1" x14ac:dyDescent="0.3"/>
    <row r="384" ht="21" customHeight="1" x14ac:dyDescent="0.3"/>
    <row r="389" ht="21" customHeight="1" x14ac:dyDescent="0.3"/>
    <row r="394" ht="21" customHeight="1" x14ac:dyDescent="0.3"/>
    <row r="399" ht="21" customHeight="1" x14ac:dyDescent="0.3"/>
    <row r="404" ht="21" customHeight="1" x14ac:dyDescent="0.3"/>
    <row r="409" ht="21" customHeight="1" x14ac:dyDescent="0.3"/>
    <row r="414" ht="21" customHeight="1" x14ac:dyDescent="0.3"/>
    <row r="419" ht="21" customHeight="1" x14ac:dyDescent="0.3"/>
    <row r="424" ht="21" customHeight="1" x14ac:dyDescent="0.3"/>
    <row r="429" ht="21" customHeight="1" x14ac:dyDescent="0.3"/>
    <row r="434" ht="21" customHeight="1" x14ac:dyDescent="0.3"/>
    <row r="439" ht="21" customHeight="1" x14ac:dyDescent="0.3"/>
    <row r="444" ht="21" customHeight="1" x14ac:dyDescent="0.3"/>
    <row r="449" ht="21" customHeight="1" x14ac:dyDescent="0.3"/>
    <row r="454" ht="21" customHeight="1" x14ac:dyDescent="0.3"/>
    <row r="459" ht="21" customHeight="1" x14ac:dyDescent="0.3"/>
    <row r="464" ht="21" customHeight="1" x14ac:dyDescent="0.3"/>
    <row r="469" ht="21" customHeight="1" x14ac:dyDescent="0.3"/>
    <row r="474" ht="21" customHeight="1" x14ac:dyDescent="0.3"/>
    <row r="479" ht="21" customHeight="1" x14ac:dyDescent="0.3"/>
    <row r="484" ht="21" customHeight="1" x14ac:dyDescent="0.3"/>
    <row r="489" ht="21" customHeight="1" x14ac:dyDescent="0.3"/>
    <row r="499" ht="21" customHeight="1" x14ac:dyDescent="0.3"/>
    <row r="504" ht="21" customHeight="1" x14ac:dyDescent="0.3"/>
    <row r="509" ht="21" customHeight="1" x14ac:dyDescent="0.3"/>
    <row r="514" ht="21" customHeight="1" x14ac:dyDescent="0.3"/>
    <row r="519" ht="21" customHeight="1" x14ac:dyDescent="0.3"/>
    <row r="524" ht="21" customHeight="1" x14ac:dyDescent="0.3"/>
    <row r="529" ht="21" customHeight="1" x14ac:dyDescent="0.3"/>
    <row r="534" ht="21" customHeight="1" x14ac:dyDescent="0.3"/>
    <row r="539" ht="21" customHeight="1" x14ac:dyDescent="0.3"/>
    <row r="544" ht="21" customHeight="1" x14ac:dyDescent="0.3"/>
    <row r="549" ht="21" customHeight="1" x14ac:dyDescent="0.3"/>
    <row r="554" ht="21" customHeight="1" x14ac:dyDescent="0.3"/>
    <row r="559" ht="21" customHeight="1" x14ac:dyDescent="0.3"/>
    <row r="564" ht="21" customHeight="1" x14ac:dyDescent="0.3"/>
    <row r="569" ht="21" customHeight="1" x14ac:dyDescent="0.3"/>
    <row r="574" ht="21" customHeight="1" x14ac:dyDescent="0.3"/>
    <row r="579" ht="21" customHeight="1" x14ac:dyDescent="0.3"/>
    <row r="584" ht="21" customHeight="1" x14ac:dyDescent="0.3"/>
    <row r="589" ht="21" customHeight="1" x14ac:dyDescent="0.3"/>
    <row r="594" ht="21" customHeight="1" x14ac:dyDescent="0.3"/>
    <row r="599" ht="21" customHeight="1" x14ac:dyDescent="0.3"/>
    <row r="604" ht="21" customHeight="1" x14ac:dyDescent="0.3"/>
    <row r="609" ht="21" customHeight="1" x14ac:dyDescent="0.3"/>
    <row r="614" ht="21" customHeight="1" x14ac:dyDescent="0.3"/>
    <row r="619" ht="21" customHeight="1" x14ac:dyDescent="0.3"/>
    <row r="624" ht="21" customHeight="1" x14ac:dyDescent="0.3"/>
    <row r="629" ht="21" customHeight="1" x14ac:dyDescent="0.3"/>
    <row r="634" ht="21" customHeight="1" x14ac:dyDescent="0.3"/>
    <row r="639" ht="21" customHeight="1" x14ac:dyDescent="0.3"/>
    <row r="644" ht="21" customHeight="1" x14ac:dyDescent="0.3"/>
    <row r="649" ht="21" customHeight="1" x14ac:dyDescent="0.3"/>
  </sheetData>
  <autoFilter ref="A3:AC124" xr:uid="{0166660F-8BE0-4D22-A61C-B639842FA2FB}"/>
  <mergeCells count="14">
    <mergeCell ref="AC1:AC2"/>
    <mergeCell ref="H1:N1"/>
    <mergeCell ref="O1:U1"/>
    <mergeCell ref="A6:E6"/>
    <mergeCell ref="A4:E4"/>
    <mergeCell ref="A1:G1"/>
    <mergeCell ref="A2:A3"/>
    <mergeCell ref="C2:C3"/>
    <mergeCell ref="D2:D3"/>
    <mergeCell ref="E2:E3"/>
    <mergeCell ref="F2:F3"/>
    <mergeCell ref="G2:G3"/>
    <mergeCell ref="B2:B3"/>
    <mergeCell ref="V1:AB1"/>
  </mergeCells>
  <conditionalFormatting sqref="E2:E3">
    <cfRule type="containsText" dxfId="11" priority="4" operator="containsText" text="TO DO">
      <formula>NOT(ISERROR(SEARCH("TO DO",E2)))</formula>
    </cfRule>
    <cfRule type="containsText" dxfId="10" priority="5" operator="containsText" text="DOING">
      <formula>NOT(ISERROR(SEARCH("DOING",E2)))</formula>
    </cfRule>
    <cfRule type="containsText" dxfId="9" priority="6" operator="containsText" text="DONE">
      <formula>NOT(ISERROR(SEARCH("DONE",E2)))</formula>
    </cfRule>
  </conditionalFormatting>
  <conditionalFormatting sqref="E7:E1048576">
    <cfRule type="containsText" dxfId="8" priority="1" operator="containsText" text="TO DO">
      <formula>NOT(ISERROR(SEARCH("TO DO",E7)))</formula>
    </cfRule>
    <cfRule type="containsText" dxfId="7" priority="2" operator="containsText" text="DOING">
      <formula>NOT(ISERROR(SEARCH("DOING",E7)))</formula>
    </cfRule>
    <cfRule type="containsText" dxfId="6" priority="3" operator="containsText" text="DONE">
      <formula>NOT(ISERROR(SEARCH("DONE",E7)))</formula>
    </cfRule>
  </conditionalFormatting>
  <dataValidations count="1">
    <dataValidation type="list" allowBlank="1" sqref="E7:E124" xr:uid="{BE49B96F-4AF0-4426-8352-D8FE33C2DF13}">
      <formula1>"TO DO,DOING,DONE"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8793-FBB1-4F81-ABEB-39DEAC93EB05}">
  <dimension ref="A1:AC649"/>
  <sheetViews>
    <sheetView topLeftCell="W10" zoomScale="90" zoomScaleNormal="90" workbookViewId="0">
      <selection activeCell="C15" sqref="C15"/>
    </sheetView>
  </sheetViews>
  <sheetFormatPr baseColWidth="10" defaultColWidth="11.5546875" defaultRowHeight="14.4" x14ac:dyDescent="0.3"/>
  <cols>
    <col min="1" max="1" width="8.88671875" customWidth="1"/>
    <col min="2" max="2" width="9.33203125" customWidth="1"/>
    <col min="3" max="3" width="55" customWidth="1"/>
    <col min="4" max="4" width="13.44140625" customWidth="1"/>
    <col min="6" max="6" width="10.6640625" customWidth="1"/>
    <col min="7" max="7" width="13.109375" customWidth="1"/>
    <col min="8" max="28" width="5.6640625" style="1" customWidth="1"/>
    <col min="29" max="29" width="9" style="1" customWidth="1"/>
  </cols>
  <sheetData>
    <row r="1" spans="1:29" ht="18" x14ac:dyDescent="0.3">
      <c r="A1" s="79" t="s">
        <v>270</v>
      </c>
      <c r="B1" s="80"/>
      <c r="C1" s="80"/>
      <c r="D1" s="80"/>
      <c r="E1" s="80"/>
      <c r="F1" s="80"/>
      <c r="G1" s="81"/>
      <c r="H1" s="59" t="s">
        <v>1</v>
      </c>
      <c r="I1" s="59"/>
      <c r="J1" s="59"/>
      <c r="K1" s="59"/>
      <c r="L1" s="59"/>
      <c r="M1" s="59"/>
      <c r="N1" s="59"/>
      <c r="O1" s="58" t="s">
        <v>2</v>
      </c>
      <c r="P1" s="58"/>
      <c r="Q1" s="58"/>
      <c r="R1" s="58"/>
      <c r="S1" s="58"/>
      <c r="T1" s="58"/>
      <c r="U1" s="58"/>
      <c r="V1" s="59" t="s">
        <v>3</v>
      </c>
      <c r="W1" s="59"/>
      <c r="X1" s="59"/>
      <c r="Y1" s="59"/>
      <c r="Z1" s="59"/>
      <c r="AA1" s="59"/>
      <c r="AB1" s="59"/>
      <c r="AC1" s="58" t="s">
        <v>4</v>
      </c>
    </row>
    <row r="2" spans="1:29" x14ac:dyDescent="0.3">
      <c r="A2" s="76" t="s">
        <v>5</v>
      </c>
      <c r="B2" s="77" t="s">
        <v>6</v>
      </c>
      <c r="C2" s="77" t="s">
        <v>7</v>
      </c>
      <c r="D2" s="77" t="s">
        <v>8</v>
      </c>
      <c r="E2" s="77" t="s">
        <v>9</v>
      </c>
      <c r="F2" s="78" t="s">
        <v>271</v>
      </c>
      <c r="G2" s="82" t="s">
        <v>272</v>
      </c>
      <c r="H2" s="5">
        <v>1</v>
      </c>
      <c r="I2" s="5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5">
        <v>15</v>
      </c>
      <c r="W2" s="5">
        <v>16</v>
      </c>
      <c r="X2" s="5">
        <v>17</v>
      </c>
      <c r="Y2" s="5">
        <v>18</v>
      </c>
      <c r="Z2" s="5">
        <v>19</v>
      </c>
      <c r="AA2" s="5">
        <v>20</v>
      </c>
      <c r="AB2" s="5">
        <v>21</v>
      </c>
      <c r="AC2" s="58"/>
    </row>
    <row r="3" spans="1:29" ht="27" customHeight="1" x14ac:dyDescent="0.3">
      <c r="A3" s="76"/>
      <c r="B3" s="77"/>
      <c r="C3" s="77"/>
      <c r="D3" s="77"/>
      <c r="E3" s="77"/>
      <c r="F3" s="78"/>
      <c r="G3" s="82"/>
      <c r="H3" s="7">
        <v>46064</v>
      </c>
      <c r="I3" s="7">
        <v>46065</v>
      </c>
      <c r="J3" s="7">
        <v>46066</v>
      </c>
      <c r="K3" s="7">
        <v>46067</v>
      </c>
      <c r="L3" s="7">
        <v>46068</v>
      </c>
      <c r="M3" s="7">
        <v>46069</v>
      </c>
      <c r="N3" s="7">
        <v>46070</v>
      </c>
      <c r="O3" s="8">
        <v>46071</v>
      </c>
      <c r="P3" s="8">
        <v>46072</v>
      </c>
      <c r="Q3" s="8">
        <v>46073</v>
      </c>
      <c r="R3" s="8">
        <v>46074</v>
      </c>
      <c r="S3" s="8">
        <v>46075</v>
      </c>
      <c r="T3" s="8">
        <v>46076</v>
      </c>
      <c r="U3" s="8">
        <v>46077</v>
      </c>
      <c r="V3" s="7">
        <v>46078</v>
      </c>
      <c r="W3" s="7">
        <v>46079</v>
      </c>
      <c r="X3" s="7">
        <v>46080</v>
      </c>
      <c r="Y3" s="7">
        <v>46081</v>
      </c>
      <c r="Z3" s="7">
        <v>46082</v>
      </c>
      <c r="AA3" s="7">
        <v>46083</v>
      </c>
      <c r="AB3" s="7">
        <v>46084</v>
      </c>
      <c r="AC3" s="8">
        <v>46085</v>
      </c>
    </row>
    <row r="4" spans="1:29" ht="15" customHeight="1" x14ac:dyDescent="0.3">
      <c r="A4" s="73" t="s">
        <v>273</v>
      </c>
      <c r="B4" s="74"/>
      <c r="C4" s="74"/>
      <c r="D4" s="74"/>
      <c r="E4" s="75"/>
      <c r="F4" s="3">
        <f>SUM(F7:F110000)</f>
        <v>659</v>
      </c>
      <c r="G4" s="4"/>
      <c r="H4" s="11">
        <f>F4</f>
        <v>659</v>
      </c>
      <c r="I4" s="11">
        <f>H4-($F$4/$B$5)</f>
        <v>626.04999999999995</v>
      </c>
      <c r="J4" s="11">
        <f t="shared" ref="J4:AB4" si="0">I4-($F$4/$B$5)</f>
        <v>593.09999999999991</v>
      </c>
      <c r="K4" s="11">
        <f t="shared" si="0"/>
        <v>560.14999999999986</v>
      </c>
      <c r="L4" s="11">
        <f t="shared" si="0"/>
        <v>527.19999999999982</v>
      </c>
      <c r="M4" s="11">
        <f t="shared" si="0"/>
        <v>494.24999999999983</v>
      </c>
      <c r="N4" s="11">
        <f t="shared" si="0"/>
        <v>461.29999999999984</v>
      </c>
      <c r="O4" s="11">
        <f t="shared" si="0"/>
        <v>428.34999999999985</v>
      </c>
      <c r="P4" s="11">
        <f t="shared" si="0"/>
        <v>395.39999999999986</v>
      </c>
      <c r="Q4" s="11">
        <f t="shared" si="0"/>
        <v>362.44999999999987</v>
      </c>
      <c r="R4" s="11">
        <f t="shared" si="0"/>
        <v>329.49999999999989</v>
      </c>
      <c r="S4" s="11">
        <f t="shared" si="0"/>
        <v>296.5499999999999</v>
      </c>
      <c r="T4" s="11">
        <f t="shared" si="0"/>
        <v>263.59999999999991</v>
      </c>
      <c r="U4" s="11">
        <f t="shared" si="0"/>
        <v>230.64999999999992</v>
      </c>
      <c r="V4" s="11">
        <f t="shared" si="0"/>
        <v>197.69999999999993</v>
      </c>
      <c r="W4" s="11">
        <f t="shared" si="0"/>
        <v>164.74999999999994</v>
      </c>
      <c r="X4" s="11">
        <f t="shared" si="0"/>
        <v>131.79999999999995</v>
      </c>
      <c r="Y4" s="11">
        <f t="shared" si="0"/>
        <v>98.849999999999952</v>
      </c>
      <c r="Z4" s="11">
        <f t="shared" si="0"/>
        <v>65.899999999999949</v>
      </c>
      <c r="AA4" s="11">
        <f t="shared" si="0"/>
        <v>32.949999999999946</v>
      </c>
      <c r="AB4" s="11">
        <f t="shared" si="0"/>
        <v>-5.6843418860808015E-14</v>
      </c>
      <c r="AC4" s="12"/>
    </row>
    <row r="5" spans="1:29" x14ac:dyDescent="0.3">
      <c r="A5" s="27"/>
      <c r="B5" s="10">
        <v>20</v>
      </c>
      <c r="C5" s="10" t="s">
        <v>13</v>
      </c>
      <c r="D5" s="28"/>
      <c r="E5" s="29"/>
      <c r="F5" s="26" t="s">
        <v>274</v>
      </c>
      <c r="G5" s="2">
        <f>SUM(G6:G100000)</f>
        <v>606</v>
      </c>
      <c r="H5" s="13">
        <f>G5-H6</f>
        <v>574</v>
      </c>
      <c r="I5" s="13">
        <f>H5-I6</f>
        <v>530</v>
      </c>
      <c r="J5" s="13">
        <f t="shared" ref="J5:AB5" si="1">I5-J6</f>
        <v>488</v>
      </c>
      <c r="K5" s="13">
        <f t="shared" si="1"/>
        <v>444</v>
      </c>
      <c r="L5" s="13">
        <f t="shared" si="1"/>
        <v>397</v>
      </c>
      <c r="M5" s="13">
        <f t="shared" si="1"/>
        <v>367</v>
      </c>
      <c r="N5" s="13">
        <f t="shared" si="1"/>
        <v>361</v>
      </c>
      <c r="O5" s="13">
        <f t="shared" si="1"/>
        <v>345</v>
      </c>
      <c r="P5" s="13">
        <f t="shared" si="1"/>
        <v>323</v>
      </c>
      <c r="Q5" s="13">
        <f t="shared" si="1"/>
        <v>299</v>
      </c>
      <c r="R5" s="13">
        <f t="shared" si="1"/>
        <v>267</v>
      </c>
      <c r="S5" s="13">
        <f t="shared" si="1"/>
        <v>226</v>
      </c>
      <c r="T5" s="13">
        <f t="shared" si="1"/>
        <v>177</v>
      </c>
      <c r="U5" s="13">
        <f t="shared" si="1"/>
        <v>152</v>
      </c>
      <c r="V5" s="13">
        <f t="shared" si="1"/>
        <v>142</v>
      </c>
      <c r="W5" s="13">
        <f t="shared" si="1"/>
        <v>128</v>
      </c>
      <c r="X5" s="13">
        <f t="shared" si="1"/>
        <v>102</v>
      </c>
      <c r="Y5" s="13">
        <f t="shared" si="1"/>
        <v>72</v>
      </c>
      <c r="Z5" s="13">
        <f t="shared" si="1"/>
        <v>38</v>
      </c>
      <c r="AA5" s="13">
        <f t="shared" si="1"/>
        <v>8</v>
      </c>
      <c r="AB5" s="13">
        <f t="shared" si="1"/>
        <v>4</v>
      </c>
      <c r="AC5" s="14"/>
    </row>
    <row r="6" spans="1:29" x14ac:dyDescent="0.3">
      <c r="A6" s="73" t="s">
        <v>275</v>
      </c>
      <c r="B6" s="74"/>
      <c r="C6" s="74"/>
      <c r="D6" s="74"/>
      <c r="E6" s="75"/>
      <c r="F6" s="2"/>
      <c r="G6" s="2"/>
      <c r="H6" s="13">
        <f>SUM(H7:H10000)</f>
        <v>32</v>
      </c>
      <c r="I6" s="13">
        <f t="shared" ref="I6:AB6" si="2">SUM(I7:I10000)</f>
        <v>44</v>
      </c>
      <c r="J6" s="13">
        <f t="shared" si="2"/>
        <v>42</v>
      </c>
      <c r="K6" s="13">
        <f t="shared" si="2"/>
        <v>44</v>
      </c>
      <c r="L6" s="13">
        <f t="shared" si="2"/>
        <v>47</v>
      </c>
      <c r="M6" s="13">
        <f t="shared" si="2"/>
        <v>30</v>
      </c>
      <c r="N6" s="13">
        <f t="shared" si="2"/>
        <v>6</v>
      </c>
      <c r="O6" s="13">
        <f t="shared" si="2"/>
        <v>16</v>
      </c>
      <c r="P6" s="13">
        <f t="shared" si="2"/>
        <v>22</v>
      </c>
      <c r="Q6" s="13">
        <f t="shared" si="2"/>
        <v>24</v>
      </c>
      <c r="R6" s="13">
        <f t="shared" si="2"/>
        <v>32</v>
      </c>
      <c r="S6" s="13">
        <f t="shared" si="2"/>
        <v>41</v>
      </c>
      <c r="T6" s="13">
        <f t="shared" si="2"/>
        <v>49</v>
      </c>
      <c r="U6" s="13">
        <f t="shared" si="2"/>
        <v>25</v>
      </c>
      <c r="V6" s="13">
        <f t="shared" si="2"/>
        <v>10</v>
      </c>
      <c r="W6" s="13">
        <f t="shared" si="2"/>
        <v>14</v>
      </c>
      <c r="X6" s="13">
        <f t="shared" si="2"/>
        <v>26</v>
      </c>
      <c r="Y6" s="13">
        <f t="shared" si="2"/>
        <v>30</v>
      </c>
      <c r="Z6" s="13">
        <f t="shared" si="2"/>
        <v>34</v>
      </c>
      <c r="AA6" s="13">
        <f t="shared" si="2"/>
        <v>30</v>
      </c>
      <c r="AB6" s="13">
        <f t="shared" si="2"/>
        <v>4</v>
      </c>
      <c r="AC6" s="14"/>
    </row>
    <row r="7" spans="1:29" x14ac:dyDescent="0.3">
      <c r="A7" s="36" t="s">
        <v>16</v>
      </c>
      <c r="B7" s="37" t="s">
        <v>17</v>
      </c>
      <c r="C7" s="32" t="s">
        <v>18</v>
      </c>
      <c r="D7" s="33" t="s">
        <v>19</v>
      </c>
      <c r="E7" s="16" t="s">
        <v>20</v>
      </c>
      <c r="F7" s="18">
        <v>9</v>
      </c>
      <c r="G7" s="18">
        <v>8</v>
      </c>
      <c r="H7" s="18">
        <v>2</v>
      </c>
      <c r="I7" s="18">
        <v>0</v>
      </c>
      <c r="J7" s="18">
        <v>0</v>
      </c>
      <c r="K7" s="18">
        <v>2</v>
      </c>
      <c r="L7" s="18">
        <v>2</v>
      </c>
      <c r="M7" s="18">
        <v>2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6"/>
    </row>
    <row r="8" spans="1:29" ht="28.8" x14ac:dyDescent="0.3">
      <c r="A8" s="30"/>
      <c r="B8" s="30" t="s">
        <v>21</v>
      </c>
      <c r="C8" s="39" t="s">
        <v>22</v>
      </c>
      <c r="D8" s="19" t="s">
        <v>23</v>
      </c>
      <c r="E8" s="21" t="s">
        <v>20</v>
      </c>
      <c r="F8" s="21">
        <v>3</v>
      </c>
      <c r="G8" s="21">
        <v>2</v>
      </c>
      <c r="H8" s="21">
        <v>2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2"/>
    </row>
    <row r="9" spans="1:29" ht="28.8" x14ac:dyDescent="0.3">
      <c r="A9" s="31"/>
      <c r="B9" s="31" t="s">
        <v>24</v>
      </c>
      <c r="C9" s="38" t="s">
        <v>25</v>
      </c>
      <c r="D9" s="33" t="s">
        <v>19</v>
      </c>
      <c r="E9" s="23" t="s">
        <v>20</v>
      </c>
      <c r="F9" s="23">
        <v>3</v>
      </c>
      <c r="G9" s="23">
        <v>4</v>
      </c>
      <c r="H9" s="23">
        <v>0</v>
      </c>
      <c r="I9" s="23">
        <v>0</v>
      </c>
      <c r="J9" s="23">
        <v>0</v>
      </c>
      <c r="K9" s="23">
        <v>2</v>
      </c>
      <c r="L9" s="23">
        <v>2</v>
      </c>
      <c r="M9" s="23">
        <v>0</v>
      </c>
      <c r="N9" s="23">
        <v>0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2"/>
    </row>
    <row r="10" spans="1:29" ht="28.8" x14ac:dyDescent="0.3">
      <c r="A10" s="30"/>
      <c r="B10" s="30" t="s">
        <v>26</v>
      </c>
      <c r="C10" s="39" t="s">
        <v>27</v>
      </c>
      <c r="D10" s="19" t="s">
        <v>23</v>
      </c>
      <c r="E10" s="21" t="s">
        <v>20</v>
      </c>
      <c r="F10" s="21">
        <v>3</v>
      </c>
      <c r="G10" s="21">
        <v>2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2</v>
      </c>
      <c r="N10" s="21">
        <v>0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6"/>
    </row>
    <row r="11" spans="1:29" x14ac:dyDescent="0.3">
      <c r="A11" s="36" t="s">
        <v>16</v>
      </c>
      <c r="B11" s="37" t="s">
        <v>28</v>
      </c>
      <c r="C11" s="32" t="s">
        <v>29</v>
      </c>
      <c r="D11" s="33" t="s">
        <v>19</v>
      </c>
      <c r="E11" s="16" t="s">
        <v>20</v>
      </c>
      <c r="F11" s="16">
        <v>15</v>
      </c>
      <c r="G11" s="16">
        <v>13</v>
      </c>
      <c r="H11" s="16">
        <v>0</v>
      </c>
      <c r="I11" s="16">
        <v>6</v>
      </c>
      <c r="J11" s="16">
        <v>0</v>
      </c>
      <c r="K11" s="16">
        <v>4</v>
      </c>
      <c r="L11" s="16">
        <v>1</v>
      </c>
      <c r="M11" s="16">
        <v>2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22"/>
    </row>
    <row r="12" spans="1:29" ht="28.8" x14ac:dyDescent="0.3">
      <c r="A12" s="30"/>
      <c r="B12" s="30" t="s">
        <v>30</v>
      </c>
      <c r="C12" s="39" t="s">
        <v>31</v>
      </c>
      <c r="D12" s="19" t="s">
        <v>19</v>
      </c>
      <c r="E12" s="21" t="s">
        <v>20</v>
      </c>
      <c r="F12" s="21">
        <v>6</v>
      </c>
      <c r="G12" s="21">
        <v>4</v>
      </c>
      <c r="H12" s="21">
        <v>0</v>
      </c>
      <c r="I12" s="21">
        <v>2</v>
      </c>
      <c r="J12" s="21">
        <v>0</v>
      </c>
      <c r="K12" s="21">
        <v>2</v>
      </c>
      <c r="L12" s="21">
        <v>0</v>
      </c>
      <c r="M12" s="21">
        <v>0</v>
      </c>
      <c r="N12" s="21"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2"/>
    </row>
    <row r="13" spans="1:29" ht="28.8" x14ac:dyDescent="0.3">
      <c r="A13" s="31"/>
      <c r="B13" s="31" t="s">
        <v>32</v>
      </c>
      <c r="C13" s="38" t="s">
        <v>33</v>
      </c>
      <c r="D13" s="33" t="s">
        <v>23</v>
      </c>
      <c r="E13" s="23" t="s">
        <v>20</v>
      </c>
      <c r="F13" s="23">
        <v>6</v>
      </c>
      <c r="G13" s="23">
        <v>6</v>
      </c>
      <c r="H13" s="23">
        <v>0</v>
      </c>
      <c r="I13" s="23">
        <v>2</v>
      </c>
      <c r="J13" s="23">
        <v>2</v>
      </c>
      <c r="K13" s="23">
        <v>2</v>
      </c>
      <c r="L13" s="23">
        <v>0</v>
      </c>
      <c r="M13" s="23">
        <v>0</v>
      </c>
      <c r="N13" s="23">
        <v>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2"/>
    </row>
    <row r="14" spans="1:29" ht="28.8" x14ac:dyDescent="0.3">
      <c r="A14" s="30"/>
      <c r="B14" s="30" t="s">
        <v>34</v>
      </c>
      <c r="C14" s="39" t="s">
        <v>35</v>
      </c>
      <c r="D14" s="19" t="s">
        <v>19</v>
      </c>
      <c r="E14" s="21" t="s">
        <v>20</v>
      </c>
      <c r="F14" s="21">
        <v>3</v>
      </c>
      <c r="G14" s="21">
        <v>3</v>
      </c>
      <c r="H14" s="21">
        <v>0</v>
      </c>
      <c r="I14" s="21">
        <v>0</v>
      </c>
      <c r="J14" s="21">
        <v>0</v>
      </c>
      <c r="K14" s="21">
        <v>0</v>
      </c>
      <c r="L14" s="21">
        <v>1</v>
      </c>
      <c r="M14" s="21">
        <v>2</v>
      </c>
      <c r="N14" s="21">
        <v>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2"/>
    </row>
    <row r="15" spans="1:29" x14ac:dyDescent="0.3">
      <c r="A15" s="36" t="s">
        <v>16</v>
      </c>
      <c r="B15" s="37" t="s">
        <v>36</v>
      </c>
      <c r="C15" s="32" t="s">
        <v>37</v>
      </c>
      <c r="D15" s="33" t="s">
        <v>19</v>
      </c>
      <c r="E15" s="23" t="s">
        <v>20</v>
      </c>
      <c r="F15" s="16">
        <v>15</v>
      </c>
      <c r="G15" s="16">
        <v>7</v>
      </c>
      <c r="H15" s="16">
        <v>4</v>
      </c>
      <c r="I15" s="16">
        <v>2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22"/>
    </row>
    <row r="16" spans="1:29" ht="28.8" x14ac:dyDescent="0.3">
      <c r="A16" s="30"/>
      <c r="B16" s="30" t="s">
        <v>38</v>
      </c>
      <c r="C16" s="39" t="s">
        <v>39</v>
      </c>
      <c r="D16" s="19" t="s">
        <v>19</v>
      </c>
      <c r="E16" s="21" t="s">
        <v>20</v>
      </c>
      <c r="F16" s="21">
        <v>6</v>
      </c>
      <c r="G16" s="21">
        <v>2</v>
      </c>
      <c r="H16" s="1">
        <v>2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2"/>
    </row>
    <row r="17" spans="1:29" ht="28.8" x14ac:dyDescent="0.3">
      <c r="A17" s="31"/>
      <c r="B17" s="31" t="s">
        <v>40</v>
      </c>
      <c r="C17" s="38" t="s">
        <v>41</v>
      </c>
      <c r="D17" s="33" t="s">
        <v>42</v>
      </c>
      <c r="E17" s="23" t="s">
        <v>20</v>
      </c>
      <c r="F17" s="23">
        <v>6</v>
      </c>
      <c r="G17" s="23">
        <v>2</v>
      </c>
      <c r="H17" s="23">
        <v>1</v>
      </c>
      <c r="I17" s="23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</row>
    <row r="18" spans="1:29" ht="28.8" x14ac:dyDescent="0.3">
      <c r="A18" s="30"/>
      <c r="B18" s="30" t="s">
        <v>43</v>
      </c>
      <c r="C18" s="39" t="s">
        <v>44</v>
      </c>
      <c r="D18" s="19" t="s">
        <v>42</v>
      </c>
      <c r="E18" s="21" t="s">
        <v>20</v>
      </c>
      <c r="F18" s="21">
        <v>3</v>
      </c>
      <c r="G18" s="21">
        <v>3</v>
      </c>
      <c r="H18" s="21">
        <v>1</v>
      </c>
      <c r="I18" s="21">
        <v>1</v>
      </c>
      <c r="J18" s="21">
        <v>1</v>
      </c>
      <c r="K18" s="21">
        <v>0</v>
      </c>
      <c r="L18" s="21">
        <v>0</v>
      </c>
      <c r="M18" s="21">
        <v>0</v>
      </c>
      <c r="N18" s="21"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2"/>
    </row>
    <row r="19" spans="1:29" ht="21" customHeight="1" x14ac:dyDescent="0.3">
      <c r="A19" s="36" t="s">
        <v>16</v>
      </c>
      <c r="B19" s="37" t="s">
        <v>45</v>
      </c>
      <c r="C19" s="32" t="s">
        <v>46</v>
      </c>
      <c r="D19" s="33" t="s">
        <v>19</v>
      </c>
      <c r="E19" s="23" t="s">
        <v>20</v>
      </c>
      <c r="F19" s="16">
        <v>40</v>
      </c>
      <c r="G19" s="16">
        <v>36</v>
      </c>
      <c r="H19" s="16">
        <v>3</v>
      </c>
      <c r="I19" s="16">
        <v>5</v>
      </c>
      <c r="J19" s="16">
        <v>5</v>
      </c>
      <c r="K19" s="16">
        <v>8</v>
      </c>
      <c r="L19" s="16">
        <v>6</v>
      </c>
      <c r="M19" s="16">
        <v>3</v>
      </c>
      <c r="N19" s="16">
        <v>3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22"/>
    </row>
    <row r="20" spans="1:29" ht="28.8" x14ac:dyDescent="0.3">
      <c r="A20" s="19"/>
      <c r="B20" s="30" t="s">
        <v>47</v>
      </c>
      <c r="C20" s="20" t="s">
        <v>48</v>
      </c>
      <c r="D20" s="19" t="s">
        <v>19</v>
      </c>
      <c r="E20" s="21" t="s">
        <v>20</v>
      </c>
      <c r="F20" s="21">
        <v>30</v>
      </c>
      <c r="G20" s="21">
        <v>27</v>
      </c>
      <c r="H20" s="21">
        <v>3</v>
      </c>
      <c r="I20" s="21">
        <v>3</v>
      </c>
      <c r="J20" s="21">
        <v>3</v>
      </c>
      <c r="K20" s="21">
        <v>6</v>
      </c>
      <c r="L20" s="21">
        <v>6</v>
      </c>
      <c r="M20" s="21">
        <v>1</v>
      </c>
      <c r="N20" s="21">
        <v>2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2"/>
    </row>
    <row r="21" spans="1:29" x14ac:dyDescent="0.3">
      <c r="A21" s="33"/>
      <c r="B21" s="31" t="s">
        <v>49</v>
      </c>
      <c r="C21" s="34" t="s">
        <v>50</v>
      </c>
      <c r="D21" s="33" t="s">
        <v>23</v>
      </c>
      <c r="E21" s="23" t="s">
        <v>20</v>
      </c>
      <c r="F21" s="23">
        <v>4</v>
      </c>
      <c r="G21" s="23">
        <v>6</v>
      </c>
      <c r="H21" s="23">
        <v>0</v>
      </c>
      <c r="I21" s="23">
        <v>2</v>
      </c>
      <c r="J21" s="23">
        <v>2</v>
      </c>
      <c r="K21" s="23">
        <v>0</v>
      </c>
      <c r="L21" s="23">
        <v>0</v>
      </c>
      <c r="M21" s="23">
        <v>2</v>
      </c>
      <c r="N21" s="23"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2"/>
    </row>
    <row r="22" spans="1:29" ht="28.8" x14ac:dyDescent="0.3">
      <c r="A22" s="19"/>
      <c r="B22" s="30" t="s">
        <v>51</v>
      </c>
      <c r="C22" s="20" t="s">
        <v>52</v>
      </c>
      <c r="D22" s="19" t="s">
        <v>23</v>
      </c>
      <c r="E22" s="21" t="s">
        <v>20</v>
      </c>
      <c r="F22" s="21">
        <v>6</v>
      </c>
      <c r="G22" s="21">
        <v>3</v>
      </c>
      <c r="H22" s="21">
        <v>0</v>
      </c>
      <c r="I22" s="21">
        <v>0</v>
      </c>
      <c r="J22" s="21">
        <v>0</v>
      </c>
      <c r="K22" s="21">
        <v>2</v>
      </c>
      <c r="L22" s="21">
        <v>0</v>
      </c>
      <c r="M22" s="21">
        <v>0</v>
      </c>
      <c r="N22" s="21">
        <v>1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2"/>
    </row>
    <row r="23" spans="1:29" x14ac:dyDescent="0.3">
      <c r="A23" s="40" t="s">
        <v>53</v>
      </c>
      <c r="B23" s="37" t="s">
        <v>54</v>
      </c>
      <c r="C23" s="32" t="s">
        <v>55</v>
      </c>
      <c r="D23" s="33" t="s">
        <v>56</v>
      </c>
      <c r="E23" s="23" t="s">
        <v>20</v>
      </c>
      <c r="F23" s="16">
        <v>8</v>
      </c>
      <c r="G23" s="16">
        <v>7</v>
      </c>
      <c r="H23" s="16">
        <v>0</v>
      </c>
      <c r="I23" s="16">
        <v>0</v>
      </c>
      <c r="J23" s="16">
        <v>0</v>
      </c>
      <c r="K23" s="16">
        <v>0</v>
      </c>
      <c r="L23" s="16">
        <v>3</v>
      </c>
      <c r="M23" s="16">
        <v>3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22"/>
    </row>
    <row r="24" spans="1:29" ht="29.4" customHeight="1" x14ac:dyDescent="0.3">
      <c r="A24" s="19"/>
      <c r="B24" s="30" t="s">
        <v>57</v>
      </c>
      <c r="C24" s="20" t="s">
        <v>58</v>
      </c>
      <c r="D24" s="19" t="s">
        <v>56</v>
      </c>
      <c r="E24" s="21" t="s">
        <v>20</v>
      </c>
      <c r="F24" s="21">
        <v>4</v>
      </c>
      <c r="G24" s="21">
        <v>4</v>
      </c>
      <c r="H24" s="21">
        <v>0</v>
      </c>
      <c r="I24" s="21">
        <v>0</v>
      </c>
      <c r="J24" s="21">
        <v>0</v>
      </c>
      <c r="K24" s="21">
        <v>0</v>
      </c>
      <c r="L24" s="21">
        <v>2</v>
      </c>
      <c r="M24" s="21">
        <v>2</v>
      </c>
      <c r="N24" s="21"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2"/>
    </row>
    <row r="25" spans="1:29" ht="28.8" x14ac:dyDescent="0.3">
      <c r="A25" s="33"/>
      <c r="B25" s="31" t="s">
        <v>59</v>
      </c>
      <c r="C25" s="34" t="s">
        <v>60</v>
      </c>
      <c r="D25" s="33" t="s">
        <v>56</v>
      </c>
      <c r="E25" s="23" t="s">
        <v>20</v>
      </c>
      <c r="F25" s="23">
        <v>3</v>
      </c>
      <c r="G25" s="23">
        <v>2</v>
      </c>
      <c r="H25" s="23">
        <v>0</v>
      </c>
      <c r="I25" s="23">
        <v>0</v>
      </c>
      <c r="J25" s="23">
        <v>0</v>
      </c>
      <c r="K25" s="23">
        <v>0</v>
      </c>
      <c r="L25" s="23">
        <v>1</v>
      </c>
      <c r="M25" s="23">
        <v>1</v>
      </c>
      <c r="N25" s="23"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2"/>
    </row>
    <row r="26" spans="1:29" ht="28.8" x14ac:dyDescent="0.3">
      <c r="A26" s="19"/>
      <c r="B26" s="30" t="s">
        <v>61</v>
      </c>
      <c r="C26" s="20" t="s">
        <v>62</v>
      </c>
      <c r="D26" s="19" t="s">
        <v>63</v>
      </c>
      <c r="E26" s="21" t="s">
        <v>20</v>
      </c>
      <c r="F26" s="21">
        <v>1</v>
      </c>
      <c r="G26" s="21">
        <v>1</v>
      </c>
      <c r="H26" s="21">
        <v>0</v>
      </c>
      <c r="I26" s="21">
        <v>0</v>
      </c>
      <c r="J26" s="21">
        <v>0</v>
      </c>
      <c r="K26" s="21">
        <v>0</v>
      </c>
      <c r="L26" s="21">
        <v>1</v>
      </c>
      <c r="M26" s="21">
        <v>0</v>
      </c>
      <c r="N26" s="21">
        <v>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2"/>
    </row>
    <row r="27" spans="1:29" x14ac:dyDescent="0.3">
      <c r="A27" s="40" t="s">
        <v>53</v>
      </c>
      <c r="B27" s="37" t="s">
        <v>64</v>
      </c>
      <c r="C27" s="32" t="s">
        <v>65</v>
      </c>
      <c r="D27" s="33" t="s">
        <v>56</v>
      </c>
      <c r="E27" s="23" t="s">
        <v>20</v>
      </c>
      <c r="F27" s="16">
        <v>11</v>
      </c>
      <c r="G27" s="16">
        <f t="shared" ref="G27:G62" si="3">IF(SUM(H27:AC27)=0,"",SUM(H27:AC27))</f>
        <v>13</v>
      </c>
      <c r="H27" s="16"/>
      <c r="I27" s="16"/>
      <c r="J27" s="16"/>
      <c r="K27" s="16"/>
      <c r="L27" s="16"/>
      <c r="M27" s="16"/>
      <c r="N27" s="16"/>
      <c r="O27" s="16">
        <v>1</v>
      </c>
      <c r="P27" s="16">
        <v>0</v>
      </c>
      <c r="Q27" s="16">
        <v>0</v>
      </c>
      <c r="R27" s="16">
        <v>3</v>
      </c>
      <c r="S27" s="16">
        <v>3</v>
      </c>
      <c r="T27" s="16">
        <v>4</v>
      </c>
      <c r="U27" s="16">
        <v>2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22"/>
    </row>
    <row r="28" spans="1:29" ht="28.8" x14ac:dyDescent="0.3">
      <c r="A28" s="19"/>
      <c r="B28" s="30" t="s">
        <v>66</v>
      </c>
      <c r="C28" s="20" t="s">
        <v>67</v>
      </c>
      <c r="D28" s="19" t="s">
        <v>68</v>
      </c>
      <c r="E28" s="21" t="s">
        <v>20</v>
      </c>
      <c r="F28" s="21">
        <v>3</v>
      </c>
      <c r="G28" s="21">
        <f t="shared" si="3"/>
        <v>2</v>
      </c>
      <c r="H28" s="21"/>
      <c r="I28" s="21"/>
      <c r="J28" s="21"/>
      <c r="K28" s="21"/>
      <c r="L28" s="21"/>
      <c r="M28" s="21"/>
      <c r="N28" s="21"/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1</v>
      </c>
      <c r="U28" s="21">
        <v>1</v>
      </c>
      <c r="V28" s="21"/>
      <c r="W28" s="21"/>
      <c r="X28" s="21"/>
      <c r="Y28" s="21"/>
      <c r="Z28" s="21"/>
      <c r="AA28" s="21"/>
      <c r="AB28" s="21"/>
      <c r="AC28" s="22"/>
    </row>
    <row r="29" spans="1:29" ht="33.6" customHeight="1" x14ac:dyDescent="0.3">
      <c r="A29" s="33"/>
      <c r="B29" s="31" t="s">
        <v>69</v>
      </c>
      <c r="C29" s="34" t="s">
        <v>70</v>
      </c>
      <c r="D29" s="33" t="s">
        <v>56</v>
      </c>
      <c r="E29" s="23" t="s">
        <v>20</v>
      </c>
      <c r="F29" s="23">
        <v>4</v>
      </c>
      <c r="G29" s="23">
        <f t="shared" si="3"/>
        <v>6</v>
      </c>
      <c r="H29" s="23"/>
      <c r="I29" s="23"/>
      <c r="J29" s="23"/>
      <c r="K29" s="23"/>
      <c r="L29" s="23"/>
      <c r="M29" s="23"/>
      <c r="N29" s="23"/>
      <c r="O29" s="23">
        <v>1</v>
      </c>
      <c r="P29" s="23">
        <v>0</v>
      </c>
      <c r="Q29" s="23">
        <v>0</v>
      </c>
      <c r="R29" s="23">
        <v>2</v>
      </c>
      <c r="S29" s="23">
        <v>2</v>
      </c>
      <c r="T29" s="23">
        <v>1</v>
      </c>
      <c r="U29" s="23">
        <v>0</v>
      </c>
      <c r="V29" s="23"/>
      <c r="W29" s="23"/>
      <c r="X29" s="23"/>
      <c r="Y29" s="23"/>
      <c r="Z29" s="23"/>
      <c r="AA29" s="23"/>
      <c r="AB29" s="23"/>
      <c r="AC29" s="22"/>
    </row>
    <row r="30" spans="1:29" ht="28.8" x14ac:dyDescent="0.3">
      <c r="A30" s="19"/>
      <c r="B30" s="30" t="s">
        <v>71</v>
      </c>
      <c r="C30" s="20" t="s">
        <v>72</v>
      </c>
      <c r="D30" s="19" t="s">
        <v>56</v>
      </c>
      <c r="E30" s="21" t="s">
        <v>20</v>
      </c>
      <c r="F30" s="21">
        <v>4</v>
      </c>
      <c r="G30" s="21">
        <f t="shared" si="3"/>
        <v>5</v>
      </c>
      <c r="H30" s="21"/>
      <c r="I30" s="21"/>
      <c r="J30" s="21"/>
      <c r="K30" s="21"/>
      <c r="L30" s="21"/>
      <c r="M30" s="21"/>
      <c r="N30" s="21"/>
      <c r="O30" s="21">
        <v>0</v>
      </c>
      <c r="P30" s="21">
        <v>0</v>
      </c>
      <c r="Q30" s="21">
        <v>0</v>
      </c>
      <c r="R30" s="21">
        <v>1</v>
      </c>
      <c r="S30" s="21">
        <v>1</v>
      </c>
      <c r="T30" s="21">
        <v>2</v>
      </c>
      <c r="U30" s="21">
        <v>1</v>
      </c>
      <c r="V30" s="21"/>
      <c r="W30" s="21"/>
      <c r="X30" s="21"/>
      <c r="Y30" s="21"/>
      <c r="Z30" s="21"/>
      <c r="AA30" s="21"/>
      <c r="AB30" s="21"/>
      <c r="AC30" s="22"/>
    </row>
    <row r="31" spans="1:29" x14ac:dyDescent="0.3">
      <c r="A31" s="40" t="s">
        <v>53</v>
      </c>
      <c r="B31" s="37" t="s">
        <v>73</v>
      </c>
      <c r="C31" s="32" t="s">
        <v>74</v>
      </c>
      <c r="D31" s="33" t="s">
        <v>56</v>
      </c>
      <c r="E31" s="23" t="s">
        <v>20</v>
      </c>
      <c r="F31" s="16">
        <v>9</v>
      </c>
      <c r="G31" s="16">
        <f t="shared" si="3"/>
        <v>16</v>
      </c>
      <c r="H31" s="16"/>
      <c r="I31" s="16"/>
      <c r="J31" s="16"/>
      <c r="K31" s="16"/>
      <c r="L31" s="16"/>
      <c r="M31" s="16"/>
      <c r="N31" s="16"/>
      <c r="O31" s="16">
        <v>0</v>
      </c>
      <c r="P31" s="16">
        <v>1</v>
      </c>
      <c r="Q31" s="16">
        <v>1</v>
      </c>
      <c r="R31" s="16">
        <v>1</v>
      </c>
      <c r="S31" s="16">
        <v>4</v>
      </c>
      <c r="T31" s="16">
        <v>6</v>
      </c>
      <c r="U31" s="16">
        <v>3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22"/>
    </row>
    <row r="32" spans="1:29" ht="28.8" x14ac:dyDescent="0.3">
      <c r="A32" s="19"/>
      <c r="B32" s="30" t="s">
        <v>75</v>
      </c>
      <c r="C32" s="20" t="s">
        <v>76</v>
      </c>
      <c r="D32" s="19" t="s">
        <v>77</v>
      </c>
      <c r="E32" s="21" t="s">
        <v>20</v>
      </c>
      <c r="F32" s="21">
        <v>4</v>
      </c>
      <c r="G32" s="21">
        <f t="shared" si="3"/>
        <v>6</v>
      </c>
      <c r="H32" s="21"/>
      <c r="I32" s="21"/>
      <c r="J32" s="21"/>
      <c r="K32" s="21"/>
      <c r="L32" s="21"/>
      <c r="M32" s="21"/>
      <c r="N32" s="21"/>
      <c r="O32" s="21">
        <v>0</v>
      </c>
      <c r="P32" s="21">
        <v>1</v>
      </c>
      <c r="Q32" s="21">
        <v>0</v>
      </c>
      <c r="R32" s="21">
        <v>1</v>
      </c>
      <c r="S32" s="21">
        <v>2</v>
      </c>
      <c r="T32" s="21">
        <v>2</v>
      </c>
      <c r="U32" s="21">
        <v>0</v>
      </c>
      <c r="V32" s="21"/>
      <c r="W32" s="21"/>
      <c r="X32" s="21"/>
      <c r="Y32" s="21"/>
      <c r="Z32" s="21"/>
      <c r="AA32" s="21"/>
      <c r="AB32" s="21"/>
      <c r="AC32" s="22"/>
    </row>
    <row r="33" spans="1:29" ht="28.8" x14ac:dyDescent="0.3">
      <c r="A33" s="33"/>
      <c r="B33" s="31" t="s">
        <v>78</v>
      </c>
      <c r="C33" s="34" t="s">
        <v>79</v>
      </c>
      <c r="D33" s="33" t="s">
        <v>77</v>
      </c>
      <c r="E33" s="23" t="s">
        <v>20</v>
      </c>
      <c r="F33" s="23">
        <v>2</v>
      </c>
      <c r="G33" s="23">
        <f t="shared" si="3"/>
        <v>5</v>
      </c>
      <c r="H33" s="23"/>
      <c r="I33" s="23"/>
      <c r="J33" s="23"/>
      <c r="K33" s="23"/>
      <c r="L33" s="23"/>
      <c r="M33" s="23"/>
      <c r="N33" s="23"/>
      <c r="O33" s="23">
        <v>0</v>
      </c>
      <c r="P33" s="23">
        <v>0</v>
      </c>
      <c r="Q33" s="23">
        <v>1</v>
      </c>
      <c r="R33" s="23">
        <v>0</v>
      </c>
      <c r="S33" s="23">
        <v>2</v>
      </c>
      <c r="T33" s="23">
        <v>2</v>
      </c>
      <c r="U33" s="23">
        <v>0</v>
      </c>
      <c r="V33" s="23"/>
      <c r="W33" s="23"/>
      <c r="X33" s="23"/>
      <c r="Y33" s="23"/>
      <c r="Z33" s="23"/>
      <c r="AA33" s="23"/>
      <c r="AB33" s="23"/>
      <c r="AC33" s="22"/>
    </row>
    <row r="34" spans="1:29" ht="37.200000000000003" customHeight="1" x14ac:dyDescent="0.3">
      <c r="A34" s="19"/>
      <c r="B34" s="30" t="s">
        <v>80</v>
      </c>
      <c r="C34" s="20" t="s">
        <v>81</v>
      </c>
      <c r="D34" s="19" t="s">
        <v>77</v>
      </c>
      <c r="E34" s="21" t="s">
        <v>20</v>
      </c>
      <c r="F34" s="21">
        <v>3</v>
      </c>
      <c r="G34" s="21">
        <f t="shared" si="3"/>
        <v>5</v>
      </c>
      <c r="H34" s="21"/>
      <c r="I34" s="21"/>
      <c r="J34" s="21"/>
      <c r="K34" s="21"/>
      <c r="L34" s="21"/>
      <c r="M34" s="21"/>
      <c r="N34" s="21"/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2</v>
      </c>
      <c r="U34" s="21">
        <v>3</v>
      </c>
      <c r="V34" s="21"/>
      <c r="W34" s="21"/>
      <c r="X34" s="21"/>
      <c r="Y34" s="21"/>
      <c r="Z34" s="21"/>
      <c r="AA34" s="21"/>
      <c r="AB34" s="21"/>
      <c r="AC34" s="22"/>
    </row>
    <row r="35" spans="1:29" x14ac:dyDescent="0.3">
      <c r="A35" s="41" t="s">
        <v>82</v>
      </c>
      <c r="B35" s="37" t="s">
        <v>83</v>
      </c>
      <c r="C35" s="32" t="s">
        <v>84</v>
      </c>
      <c r="D35" s="33" t="s">
        <v>85</v>
      </c>
      <c r="E35" s="23" t="s">
        <v>20</v>
      </c>
      <c r="F35" s="16">
        <v>25</v>
      </c>
      <c r="G35" s="16">
        <f t="shared" si="3"/>
        <v>34</v>
      </c>
      <c r="H35" s="16">
        <v>2</v>
      </c>
      <c r="I35" s="16">
        <v>2</v>
      </c>
      <c r="J35" s="16">
        <v>3</v>
      </c>
      <c r="K35" s="16">
        <v>2</v>
      </c>
      <c r="L35" s="16">
        <v>3</v>
      </c>
      <c r="M35" s="16">
        <v>3</v>
      </c>
      <c r="N35" s="16">
        <v>0</v>
      </c>
      <c r="O35" s="16">
        <v>0</v>
      </c>
      <c r="P35" s="16">
        <v>0</v>
      </c>
      <c r="Q35" s="16">
        <v>1</v>
      </c>
      <c r="R35" s="16">
        <v>2</v>
      </c>
      <c r="S35" s="16">
        <v>3</v>
      </c>
      <c r="T35" s="16">
        <v>6</v>
      </c>
      <c r="U35" s="16">
        <v>1</v>
      </c>
      <c r="V35" s="16">
        <v>0</v>
      </c>
      <c r="W35" s="16">
        <v>0</v>
      </c>
      <c r="X35" s="16">
        <v>0</v>
      </c>
      <c r="Y35" s="16">
        <v>1</v>
      </c>
      <c r="Z35" s="16">
        <v>1</v>
      </c>
      <c r="AA35" s="16">
        <v>3</v>
      </c>
      <c r="AB35" s="16">
        <v>1</v>
      </c>
      <c r="AC35" s="22"/>
    </row>
    <row r="36" spans="1:29" ht="28.8" x14ac:dyDescent="0.3">
      <c r="A36" s="19"/>
      <c r="B36" s="30" t="s">
        <v>86</v>
      </c>
      <c r="C36" s="20" t="s">
        <v>87</v>
      </c>
      <c r="D36" s="19" t="s">
        <v>56</v>
      </c>
      <c r="E36" s="21" t="s">
        <v>20</v>
      </c>
      <c r="F36" s="21">
        <v>5</v>
      </c>
      <c r="G36" s="21">
        <f t="shared" si="3"/>
        <v>7</v>
      </c>
      <c r="H36" s="21">
        <v>2</v>
      </c>
      <c r="I36" s="21">
        <v>1</v>
      </c>
      <c r="J36" s="21">
        <v>2</v>
      </c>
      <c r="K36" s="21">
        <v>1</v>
      </c>
      <c r="L36" s="21">
        <v>1</v>
      </c>
      <c r="M36" s="21">
        <v>0</v>
      </c>
      <c r="N36" s="21">
        <v>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2"/>
    </row>
    <row r="37" spans="1:29" ht="37.200000000000003" customHeight="1" x14ac:dyDescent="0.3">
      <c r="A37" s="33"/>
      <c r="B37" s="31" t="s">
        <v>88</v>
      </c>
      <c r="C37" s="34" t="s">
        <v>89</v>
      </c>
      <c r="D37" s="33" t="s">
        <v>56</v>
      </c>
      <c r="E37" s="23" t="s">
        <v>20</v>
      </c>
      <c r="F37" s="23">
        <v>15</v>
      </c>
      <c r="G37" s="23">
        <f t="shared" si="3"/>
        <v>14</v>
      </c>
      <c r="H37" s="23">
        <v>0</v>
      </c>
      <c r="I37" s="23">
        <v>1</v>
      </c>
      <c r="J37" s="23">
        <v>1</v>
      </c>
      <c r="K37" s="23">
        <v>1</v>
      </c>
      <c r="L37" s="23">
        <v>2</v>
      </c>
      <c r="M37" s="23">
        <v>3</v>
      </c>
      <c r="N37" s="23">
        <v>0</v>
      </c>
      <c r="O37" s="23">
        <v>0</v>
      </c>
      <c r="P37" s="23">
        <v>0</v>
      </c>
      <c r="Q37" s="23">
        <v>1</v>
      </c>
      <c r="R37" s="23">
        <v>1</v>
      </c>
      <c r="S37" s="23">
        <v>2</v>
      </c>
      <c r="T37" s="23">
        <v>2</v>
      </c>
      <c r="U37" s="23">
        <v>0</v>
      </c>
      <c r="V37" s="23"/>
      <c r="W37" s="23"/>
      <c r="X37" s="23"/>
      <c r="Y37" s="23"/>
      <c r="Z37" s="23"/>
      <c r="AA37" s="23"/>
      <c r="AB37" s="23"/>
      <c r="AC37" s="22"/>
    </row>
    <row r="38" spans="1:29" ht="36.6" customHeight="1" x14ac:dyDescent="0.3">
      <c r="A38" s="19"/>
      <c r="B38" s="30" t="s">
        <v>90</v>
      </c>
      <c r="C38" s="20" t="s">
        <v>91</v>
      </c>
      <c r="D38" s="19" t="s">
        <v>85</v>
      </c>
      <c r="E38" s="21" t="s">
        <v>20</v>
      </c>
      <c r="F38" s="21">
        <v>2</v>
      </c>
      <c r="G38" s="21">
        <f t="shared" si="3"/>
        <v>3</v>
      </c>
      <c r="H38" s="21"/>
      <c r="I38" s="21"/>
      <c r="J38" s="21"/>
      <c r="K38" s="21"/>
      <c r="L38" s="21"/>
      <c r="M38" s="21"/>
      <c r="N38" s="21"/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2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1</v>
      </c>
      <c r="AB38" s="21">
        <v>0</v>
      </c>
      <c r="AC38" s="22"/>
    </row>
    <row r="39" spans="1:29" ht="30.6" customHeight="1" x14ac:dyDescent="0.3">
      <c r="A39" s="33"/>
      <c r="B39" s="42" t="s">
        <v>92</v>
      </c>
      <c r="C39" s="43" t="s">
        <v>93</v>
      </c>
      <c r="D39" s="33" t="s">
        <v>63</v>
      </c>
      <c r="E39" s="23" t="s">
        <v>20</v>
      </c>
      <c r="F39" s="23">
        <v>3</v>
      </c>
      <c r="G39" s="23">
        <f t="shared" si="3"/>
        <v>5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>
        <v>0</v>
      </c>
      <c r="W39" s="23">
        <v>0</v>
      </c>
      <c r="X39" s="23">
        <v>0</v>
      </c>
      <c r="Y39" s="23">
        <v>1</v>
      </c>
      <c r="Z39" s="23">
        <v>1</v>
      </c>
      <c r="AA39" s="23">
        <v>2</v>
      </c>
      <c r="AB39" s="23">
        <v>1</v>
      </c>
      <c r="AC39" s="22"/>
    </row>
    <row r="40" spans="1:29" x14ac:dyDescent="0.3">
      <c r="A40" s="44" t="s">
        <v>94</v>
      </c>
      <c r="B40" s="37" t="s">
        <v>95</v>
      </c>
      <c r="C40" s="32" t="s">
        <v>96</v>
      </c>
      <c r="D40" s="33" t="s">
        <v>56</v>
      </c>
      <c r="E40" s="21" t="s">
        <v>20</v>
      </c>
      <c r="F40" s="16">
        <v>11</v>
      </c>
      <c r="G40" s="16">
        <f t="shared" si="3"/>
        <v>10</v>
      </c>
      <c r="H40" s="16">
        <v>0</v>
      </c>
      <c r="I40" s="16">
        <v>0</v>
      </c>
      <c r="J40" s="16">
        <v>1</v>
      </c>
      <c r="K40" s="16">
        <v>1</v>
      </c>
      <c r="L40" s="16">
        <v>0</v>
      </c>
      <c r="M40" s="16">
        <v>0</v>
      </c>
      <c r="N40" s="16">
        <v>0</v>
      </c>
      <c r="O40" s="16">
        <v>2</v>
      </c>
      <c r="P40" s="16">
        <v>1</v>
      </c>
      <c r="Q40" s="16">
        <v>3</v>
      </c>
      <c r="R40" s="16">
        <v>1</v>
      </c>
      <c r="S40" s="16">
        <v>0</v>
      </c>
      <c r="T40" s="16">
        <v>0</v>
      </c>
      <c r="U40" s="16">
        <v>1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22"/>
    </row>
    <row r="41" spans="1:29" ht="28.8" x14ac:dyDescent="0.3">
      <c r="A41" s="19"/>
      <c r="B41" s="30" t="s">
        <v>97</v>
      </c>
      <c r="C41" s="20" t="s">
        <v>98</v>
      </c>
      <c r="D41" s="19" t="s">
        <v>56</v>
      </c>
      <c r="E41" s="23" t="s">
        <v>20</v>
      </c>
      <c r="F41" s="23">
        <v>3</v>
      </c>
      <c r="G41" s="23">
        <f t="shared" si="3"/>
        <v>2</v>
      </c>
      <c r="H41" s="23">
        <v>0</v>
      </c>
      <c r="I41" s="23">
        <v>0</v>
      </c>
      <c r="J41" s="23">
        <v>1</v>
      </c>
      <c r="K41" s="23">
        <v>1</v>
      </c>
      <c r="L41" s="23">
        <v>0</v>
      </c>
      <c r="M41" s="23">
        <v>0</v>
      </c>
      <c r="N41" s="23">
        <v>0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2"/>
    </row>
    <row r="42" spans="1:29" ht="28.8" x14ac:dyDescent="0.3">
      <c r="A42" s="33"/>
      <c r="B42" s="31" t="s">
        <v>99</v>
      </c>
      <c r="C42" s="34" t="s">
        <v>100</v>
      </c>
      <c r="D42" s="33" t="s">
        <v>56</v>
      </c>
      <c r="E42" s="21" t="s">
        <v>20</v>
      </c>
      <c r="F42" s="21">
        <v>6</v>
      </c>
      <c r="G42" s="21">
        <f t="shared" si="3"/>
        <v>3</v>
      </c>
      <c r="H42" s="21"/>
      <c r="I42" s="21"/>
      <c r="J42" s="21"/>
      <c r="K42" s="21"/>
      <c r="L42" s="21"/>
      <c r="M42" s="21"/>
      <c r="N42" s="21"/>
      <c r="O42" s="21">
        <v>1</v>
      </c>
      <c r="P42" s="21">
        <v>0</v>
      </c>
      <c r="Q42" s="21">
        <v>1</v>
      </c>
      <c r="R42" s="21">
        <v>1</v>
      </c>
      <c r="S42" s="21">
        <v>0</v>
      </c>
      <c r="T42" s="21">
        <v>0</v>
      </c>
      <c r="U42" s="21">
        <v>0</v>
      </c>
      <c r="V42" s="21"/>
      <c r="W42" s="21"/>
      <c r="X42" s="21"/>
      <c r="Y42" s="21"/>
      <c r="Z42" s="21"/>
      <c r="AA42" s="21"/>
      <c r="AB42" s="21"/>
      <c r="AC42" s="22"/>
    </row>
    <row r="43" spans="1:29" ht="28.8" x14ac:dyDescent="0.3">
      <c r="A43" s="19"/>
      <c r="B43" s="30" t="s">
        <v>101</v>
      </c>
      <c r="C43" s="20" t="s">
        <v>102</v>
      </c>
      <c r="D43" s="19" t="s">
        <v>42</v>
      </c>
      <c r="E43" s="23" t="s">
        <v>20</v>
      </c>
      <c r="F43" s="23">
        <v>2</v>
      </c>
      <c r="G43" s="23">
        <f t="shared" si="3"/>
        <v>5</v>
      </c>
      <c r="H43" s="23"/>
      <c r="I43" s="23"/>
      <c r="J43" s="23"/>
      <c r="K43" s="23"/>
      <c r="L43" s="23"/>
      <c r="M43" s="23"/>
      <c r="N43" s="23"/>
      <c r="O43" s="23">
        <v>1</v>
      </c>
      <c r="P43" s="23">
        <v>1</v>
      </c>
      <c r="Q43" s="23">
        <v>2</v>
      </c>
      <c r="R43" s="23">
        <v>0</v>
      </c>
      <c r="S43" s="23">
        <v>0</v>
      </c>
      <c r="T43" s="23">
        <v>0</v>
      </c>
      <c r="U43" s="23">
        <v>1</v>
      </c>
      <c r="V43" s="23"/>
      <c r="W43" s="23"/>
      <c r="X43" s="23"/>
      <c r="Y43" s="23"/>
      <c r="Z43" s="23"/>
      <c r="AA43" s="23"/>
      <c r="AB43" s="23"/>
      <c r="AC43" s="22"/>
    </row>
    <row r="44" spans="1:29" ht="21" customHeight="1" x14ac:dyDescent="0.3">
      <c r="A44" s="15" t="s">
        <v>103</v>
      </c>
      <c r="B44" s="37" t="s">
        <v>104</v>
      </c>
      <c r="C44" s="32" t="s">
        <v>105</v>
      </c>
      <c r="D44" s="33" t="s">
        <v>56</v>
      </c>
      <c r="E44" s="21" t="s">
        <v>20</v>
      </c>
      <c r="F44" s="16">
        <v>7</v>
      </c>
      <c r="G44" s="16">
        <f t="shared" si="3"/>
        <v>10</v>
      </c>
      <c r="H44" s="16">
        <v>1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1</v>
      </c>
      <c r="P44" s="16">
        <v>2</v>
      </c>
      <c r="Q44" s="16">
        <v>1</v>
      </c>
      <c r="R44" s="16">
        <v>0</v>
      </c>
      <c r="S44" s="16">
        <v>1</v>
      </c>
      <c r="T44" s="16">
        <v>4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22"/>
    </row>
    <row r="45" spans="1:29" ht="28.8" x14ac:dyDescent="0.3">
      <c r="A45" s="19"/>
      <c r="B45" s="30" t="s">
        <v>106</v>
      </c>
      <c r="C45" s="20" t="s">
        <v>107</v>
      </c>
      <c r="D45" s="19" t="s">
        <v>108</v>
      </c>
      <c r="E45" s="23" t="s">
        <v>20</v>
      </c>
      <c r="F45" s="23">
        <v>1</v>
      </c>
      <c r="G45" s="23">
        <v>1</v>
      </c>
      <c r="H45" s="23">
        <v>1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2"/>
    </row>
    <row r="46" spans="1:29" ht="28.8" x14ac:dyDescent="0.3">
      <c r="A46" s="33"/>
      <c r="B46" s="31" t="s">
        <v>109</v>
      </c>
      <c r="C46" s="34" t="s">
        <v>110</v>
      </c>
      <c r="D46" s="33" t="s">
        <v>56</v>
      </c>
      <c r="E46" s="21" t="s">
        <v>20</v>
      </c>
      <c r="F46" s="21">
        <v>5</v>
      </c>
      <c r="G46" s="21">
        <f t="shared" si="3"/>
        <v>4</v>
      </c>
      <c r="H46" s="21"/>
      <c r="I46" s="21"/>
      <c r="J46" s="21"/>
      <c r="K46" s="21"/>
      <c r="L46" s="21"/>
      <c r="M46" s="21"/>
      <c r="N46" s="21"/>
      <c r="O46" s="21">
        <v>0</v>
      </c>
      <c r="P46" s="21">
        <v>2</v>
      </c>
      <c r="Q46" s="21">
        <v>1</v>
      </c>
      <c r="R46" s="21">
        <v>0</v>
      </c>
      <c r="S46" s="21">
        <v>0</v>
      </c>
      <c r="T46" s="21">
        <v>1</v>
      </c>
      <c r="U46" s="21">
        <v>0</v>
      </c>
      <c r="V46" s="21"/>
      <c r="W46" s="21"/>
      <c r="X46" s="21"/>
      <c r="Y46" s="21"/>
      <c r="Z46" s="21"/>
      <c r="AA46" s="21"/>
      <c r="AB46" s="21"/>
      <c r="AC46" s="22"/>
    </row>
    <row r="47" spans="1:29" ht="28.8" x14ac:dyDescent="0.3">
      <c r="A47" s="19"/>
      <c r="B47" s="30" t="s">
        <v>111</v>
      </c>
      <c r="C47" s="20" t="s">
        <v>112</v>
      </c>
      <c r="D47" s="19" t="s">
        <v>108</v>
      </c>
      <c r="E47" s="23" t="s">
        <v>20</v>
      </c>
      <c r="F47" s="23">
        <v>1</v>
      </c>
      <c r="G47" s="23">
        <f t="shared" si="3"/>
        <v>5</v>
      </c>
      <c r="H47" s="23"/>
      <c r="I47" s="23"/>
      <c r="J47" s="23"/>
      <c r="K47" s="23"/>
      <c r="L47" s="23"/>
      <c r="M47" s="23"/>
      <c r="N47" s="23"/>
      <c r="O47" s="23">
        <v>1</v>
      </c>
      <c r="P47" s="23">
        <v>0</v>
      </c>
      <c r="Q47" s="23">
        <v>0</v>
      </c>
      <c r="R47" s="23">
        <v>0</v>
      </c>
      <c r="S47" s="23">
        <v>1</v>
      </c>
      <c r="T47" s="23">
        <v>3</v>
      </c>
      <c r="U47" s="23">
        <v>0</v>
      </c>
      <c r="V47" s="23"/>
      <c r="W47" s="23"/>
      <c r="X47" s="23"/>
      <c r="Y47" s="23"/>
      <c r="Z47" s="23"/>
      <c r="AA47" s="23"/>
      <c r="AB47" s="23"/>
      <c r="AC47" s="22"/>
    </row>
    <row r="48" spans="1:29" x14ac:dyDescent="0.3">
      <c r="A48" s="15" t="s">
        <v>103</v>
      </c>
      <c r="B48" s="37" t="s">
        <v>113</v>
      </c>
      <c r="C48" s="32" t="s">
        <v>114</v>
      </c>
      <c r="D48" s="33" t="s">
        <v>68</v>
      </c>
      <c r="E48" s="21" t="s">
        <v>20</v>
      </c>
      <c r="F48" s="16">
        <v>8</v>
      </c>
      <c r="G48" s="16">
        <f t="shared" si="3"/>
        <v>12</v>
      </c>
      <c r="H48" s="16">
        <v>0</v>
      </c>
      <c r="I48" s="16">
        <v>0</v>
      </c>
      <c r="J48" s="16">
        <v>1</v>
      </c>
      <c r="K48" s="16">
        <v>1</v>
      </c>
      <c r="L48" s="16">
        <v>0</v>
      </c>
      <c r="M48" s="16">
        <v>0</v>
      </c>
      <c r="N48" s="16">
        <v>0</v>
      </c>
      <c r="O48" s="16">
        <v>1</v>
      </c>
      <c r="P48" s="16">
        <v>1</v>
      </c>
      <c r="Q48" s="16">
        <v>2</v>
      </c>
      <c r="R48" s="16">
        <v>0</v>
      </c>
      <c r="S48" s="16">
        <v>0</v>
      </c>
      <c r="T48" s="16">
        <v>0</v>
      </c>
      <c r="U48" s="16">
        <v>1</v>
      </c>
      <c r="V48" s="16">
        <v>0</v>
      </c>
      <c r="W48" s="16">
        <v>0</v>
      </c>
      <c r="X48" s="16">
        <v>2</v>
      </c>
      <c r="Y48" s="16">
        <v>2</v>
      </c>
      <c r="Z48" s="16">
        <v>0</v>
      </c>
      <c r="AA48" s="16">
        <v>0</v>
      </c>
      <c r="AB48" s="16">
        <v>1</v>
      </c>
      <c r="AC48" s="22"/>
    </row>
    <row r="49" spans="1:29" ht="33" customHeight="1" x14ac:dyDescent="0.3">
      <c r="A49" s="19"/>
      <c r="B49" s="30" t="s">
        <v>115</v>
      </c>
      <c r="C49" s="20" t="s">
        <v>116</v>
      </c>
      <c r="D49" s="19" t="s">
        <v>108</v>
      </c>
      <c r="E49" s="23" t="s">
        <v>20</v>
      </c>
      <c r="F49" s="23">
        <v>2</v>
      </c>
      <c r="G49" s="23">
        <v>1</v>
      </c>
      <c r="H49" s="23">
        <v>0</v>
      </c>
      <c r="I49" s="23">
        <v>0</v>
      </c>
      <c r="J49" s="23">
        <v>1</v>
      </c>
      <c r="K49" s="23">
        <v>1</v>
      </c>
      <c r="L49" s="23">
        <v>0</v>
      </c>
      <c r="M49" s="23">
        <v>0</v>
      </c>
      <c r="N49" s="23">
        <v>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2"/>
    </row>
    <row r="50" spans="1:29" ht="28.8" x14ac:dyDescent="0.3">
      <c r="A50" s="33"/>
      <c r="B50" s="31" t="s">
        <v>117</v>
      </c>
      <c r="C50" s="34" t="s">
        <v>118</v>
      </c>
      <c r="D50" s="33" t="s">
        <v>108</v>
      </c>
      <c r="E50" s="21" t="s">
        <v>20</v>
      </c>
      <c r="F50" s="21">
        <v>3</v>
      </c>
      <c r="G50" s="21">
        <f t="shared" si="3"/>
        <v>5</v>
      </c>
      <c r="H50" s="21"/>
      <c r="I50" s="21"/>
      <c r="J50" s="21"/>
      <c r="K50" s="21"/>
      <c r="L50" s="21"/>
      <c r="M50" s="21"/>
      <c r="N50" s="21"/>
      <c r="O50" s="21">
        <v>1</v>
      </c>
      <c r="P50" s="21">
        <v>1</v>
      </c>
      <c r="Q50" s="21">
        <v>2</v>
      </c>
      <c r="R50" s="21">
        <v>0</v>
      </c>
      <c r="S50" s="21">
        <v>0</v>
      </c>
      <c r="T50" s="21">
        <v>0</v>
      </c>
      <c r="U50" s="21">
        <v>1</v>
      </c>
      <c r="V50" s="21"/>
      <c r="W50" s="21"/>
      <c r="X50" s="21"/>
      <c r="Y50" s="21"/>
      <c r="Z50" s="21"/>
      <c r="AA50" s="21"/>
      <c r="AB50" s="21"/>
      <c r="AC50" s="22"/>
    </row>
    <row r="51" spans="1:29" ht="28.8" x14ac:dyDescent="0.3">
      <c r="A51" s="19"/>
      <c r="B51" s="30" t="s">
        <v>119</v>
      </c>
      <c r="C51" s="20" t="s">
        <v>120</v>
      </c>
      <c r="D51" s="19" t="s">
        <v>108</v>
      </c>
      <c r="E51" s="23" t="s">
        <v>20</v>
      </c>
      <c r="F51" s="23">
        <v>3</v>
      </c>
      <c r="G51" s="23">
        <f t="shared" si="3"/>
        <v>5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>
        <v>0</v>
      </c>
      <c r="W51" s="23">
        <v>0</v>
      </c>
      <c r="X51" s="23">
        <v>2</v>
      </c>
      <c r="Y51" s="23">
        <v>2</v>
      </c>
      <c r="Z51" s="23">
        <v>0</v>
      </c>
      <c r="AA51" s="23">
        <v>0</v>
      </c>
      <c r="AB51" s="23">
        <v>1</v>
      </c>
      <c r="AC51" s="22"/>
    </row>
    <row r="52" spans="1:29" x14ac:dyDescent="0.3">
      <c r="A52" s="15" t="s">
        <v>103</v>
      </c>
      <c r="B52" s="37" t="s">
        <v>121</v>
      </c>
      <c r="C52" s="32" t="s">
        <v>122</v>
      </c>
      <c r="D52" s="33" t="s">
        <v>56</v>
      </c>
      <c r="E52" s="21" t="s">
        <v>20</v>
      </c>
      <c r="F52" s="16">
        <v>9</v>
      </c>
      <c r="G52" s="16">
        <f t="shared" si="3"/>
        <v>21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2</v>
      </c>
      <c r="W52" s="16">
        <v>2</v>
      </c>
      <c r="X52" s="16">
        <v>5</v>
      </c>
      <c r="Y52" s="16">
        <v>4</v>
      </c>
      <c r="Z52" s="16">
        <v>5</v>
      </c>
      <c r="AA52" s="16">
        <v>3</v>
      </c>
      <c r="AB52" s="16">
        <v>0</v>
      </c>
      <c r="AC52" s="22"/>
    </row>
    <row r="53" spans="1:29" ht="28.8" x14ac:dyDescent="0.3">
      <c r="A53" s="19"/>
      <c r="B53" s="30" t="s">
        <v>123</v>
      </c>
      <c r="C53" s="20" t="s">
        <v>124</v>
      </c>
      <c r="D53" s="19" t="s">
        <v>42</v>
      </c>
      <c r="E53" s="23" t="s">
        <v>20</v>
      </c>
      <c r="F53" s="23">
        <v>2</v>
      </c>
      <c r="G53" s="23">
        <f t="shared" si="3"/>
        <v>5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>
        <v>2</v>
      </c>
      <c r="W53" s="23">
        <v>2</v>
      </c>
      <c r="X53" s="23">
        <v>1</v>
      </c>
      <c r="Y53" s="23">
        <v>0</v>
      </c>
      <c r="Z53" s="23">
        <v>0</v>
      </c>
      <c r="AA53" s="23">
        <v>0</v>
      </c>
      <c r="AB53" s="23">
        <v>0</v>
      </c>
      <c r="AC53" s="22"/>
    </row>
    <row r="54" spans="1:29" ht="33.6" customHeight="1" x14ac:dyDescent="0.3">
      <c r="A54" s="33"/>
      <c r="B54" s="31" t="s">
        <v>125</v>
      </c>
      <c r="C54" s="34" t="s">
        <v>126</v>
      </c>
      <c r="D54" s="33" t="s">
        <v>42</v>
      </c>
      <c r="E54" s="21" t="s">
        <v>20</v>
      </c>
      <c r="F54" s="21">
        <v>5</v>
      </c>
      <c r="G54" s="21">
        <f t="shared" si="3"/>
        <v>6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>
        <v>0</v>
      </c>
      <c r="W54" s="21">
        <v>0</v>
      </c>
      <c r="X54" s="21">
        <v>1</v>
      </c>
      <c r="Y54" s="21">
        <v>2</v>
      </c>
      <c r="Z54" s="21">
        <v>2</v>
      </c>
      <c r="AA54" s="21">
        <v>1</v>
      </c>
      <c r="AB54" s="21">
        <v>0</v>
      </c>
      <c r="AC54" s="22"/>
    </row>
    <row r="55" spans="1:29" ht="28.8" x14ac:dyDescent="0.3">
      <c r="A55" s="19"/>
      <c r="B55" s="30" t="s">
        <v>127</v>
      </c>
      <c r="C55" s="20" t="s">
        <v>128</v>
      </c>
      <c r="D55" s="19" t="s">
        <v>85</v>
      </c>
      <c r="E55" s="23" t="s">
        <v>20</v>
      </c>
      <c r="F55" s="23">
        <v>2</v>
      </c>
      <c r="G55" s="23">
        <f t="shared" si="3"/>
        <v>6</v>
      </c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>
        <v>0</v>
      </c>
      <c r="W55" s="23">
        <v>0</v>
      </c>
      <c r="X55" s="23">
        <v>3</v>
      </c>
      <c r="Y55" s="23">
        <v>2</v>
      </c>
      <c r="Z55" s="23">
        <v>1</v>
      </c>
      <c r="AA55" s="23">
        <v>0</v>
      </c>
      <c r="AB55" s="23">
        <v>0</v>
      </c>
      <c r="AC55" s="22"/>
    </row>
    <row r="56" spans="1:29" ht="28.8" x14ac:dyDescent="0.3">
      <c r="A56" s="33"/>
      <c r="B56" s="45" t="s">
        <v>129</v>
      </c>
      <c r="C56" s="43" t="s">
        <v>130</v>
      </c>
      <c r="D56" s="33" t="s">
        <v>85</v>
      </c>
      <c r="E56" s="21" t="s">
        <v>20</v>
      </c>
      <c r="F56" s="21">
        <v>1</v>
      </c>
      <c r="G56" s="21">
        <f t="shared" si="3"/>
        <v>4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>
        <v>0</v>
      </c>
      <c r="W56" s="21">
        <v>0</v>
      </c>
      <c r="X56" s="21">
        <v>0</v>
      </c>
      <c r="Y56" s="21">
        <v>0</v>
      </c>
      <c r="Z56" s="21">
        <v>2</v>
      </c>
      <c r="AA56" s="21">
        <v>2</v>
      </c>
      <c r="AB56" s="21">
        <v>0</v>
      </c>
      <c r="AC56" s="22"/>
    </row>
    <row r="57" spans="1:29" x14ac:dyDescent="0.3">
      <c r="A57" s="15" t="s">
        <v>103</v>
      </c>
      <c r="B57" s="37" t="s">
        <v>131</v>
      </c>
      <c r="C57" s="32" t="s">
        <v>132</v>
      </c>
      <c r="D57" s="33" t="s">
        <v>68</v>
      </c>
      <c r="E57" s="23" t="s">
        <v>20</v>
      </c>
      <c r="F57" s="16">
        <v>6</v>
      </c>
      <c r="G57" s="16">
        <f t="shared" si="3"/>
        <v>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</v>
      </c>
      <c r="W57" s="16">
        <v>1</v>
      </c>
      <c r="X57" s="16">
        <v>0</v>
      </c>
      <c r="Y57" s="16">
        <v>1</v>
      </c>
      <c r="Z57" s="16">
        <v>1</v>
      </c>
      <c r="AA57" s="16">
        <v>1</v>
      </c>
      <c r="AB57" s="16">
        <v>0</v>
      </c>
      <c r="AC57" s="22"/>
    </row>
    <row r="58" spans="1:29" ht="28.8" x14ac:dyDescent="0.3">
      <c r="A58" s="19"/>
      <c r="B58" s="30" t="s">
        <v>133</v>
      </c>
      <c r="C58" s="20" t="s">
        <v>134</v>
      </c>
      <c r="D58" s="19" t="s">
        <v>42</v>
      </c>
      <c r="E58" s="21" t="s">
        <v>20</v>
      </c>
      <c r="F58" s="21">
        <v>1</v>
      </c>
      <c r="G58" s="21">
        <f t="shared" si="3"/>
        <v>2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>
        <v>1</v>
      </c>
      <c r="W58" s="21">
        <v>1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2"/>
    </row>
    <row r="59" spans="1:29" ht="34.950000000000003" customHeight="1" x14ac:dyDescent="0.3">
      <c r="A59" s="33"/>
      <c r="B59" s="31" t="s">
        <v>135</v>
      </c>
      <c r="C59" s="34" t="s">
        <v>136</v>
      </c>
      <c r="D59" s="33" t="s">
        <v>42</v>
      </c>
      <c r="E59" s="23" t="s">
        <v>20</v>
      </c>
      <c r="F59" s="23">
        <v>5</v>
      </c>
      <c r="G59" s="23">
        <f t="shared" si="3"/>
        <v>3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>
        <v>0</v>
      </c>
      <c r="W59" s="23">
        <v>0</v>
      </c>
      <c r="X59" s="23">
        <v>0</v>
      </c>
      <c r="Y59" s="23">
        <v>1</v>
      </c>
      <c r="Z59" s="23">
        <v>1</v>
      </c>
      <c r="AA59" s="23">
        <v>1</v>
      </c>
      <c r="AB59" s="23">
        <v>0</v>
      </c>
      <c r="AC59" s="22"/>
    </row>
    <row r="60" spans="1:29" x14ac:dyDescent="0.3">
      <c r="A60" s="15" t="s">
        <v>103</v>
      </c>
      <c r="B60" s="37" t="s">
        <v>137</v>
      </c>
      <c r="C60" s="32" t="s">
        <v>138</v>
      </c>
      <c r="D60" s="33" t="s">
        <v>68</v>
      </c>
      <c r="E60" s="21" t="s">
        <v>20</v>
      </c>
      <c r="F60" s="16">
        <v>6</v>
      </c>
      <c r="G60" s="16">
        <f t="shared" si="3"/>
        <v>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2</v>
      </c>
      <c r="AA60" s="16">
        <v>1</v>
      </c>
      <c r="AB60" s="16">
        <v>0</v>
      </c>
      <c r="AC60" s="22"/>
    </row>
    <row r="61" spans="1:29" ht="28.8" x14ac:dyDescent="0.3">
      <c r="A61" s="19"/>
      <c r="B61" s="30" t="s">
        <v>139</v>
      </c>
      <c r="C61" s="20" t="s">
        <v>140</v>
      </c>
      <c r="D61" s="19" t="s">
        <v>108</v>
      </c>
      <c r="E61" s="23" t="s">
        <v>20</v>
      </c>
      <c r="F61" s="23">
        <v>3</v>
      </c>
      <c r="G61" s="23">
        <f t="shared" si="3"/>
        <v>2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>
        <v>0</v>
      </c>
      <c r="W61" s="23">
        <v>0</v>
      </c>
      <c r="X61" s="23">
        <v>0</v>
      </c>
      <c r="Y61" s="23">
        <v>0</v>
      </c>
      <c r="Z61" s="23">
        <v>2</v>
      </c>
      <c r="AA61" s="23">
        <v>0</v>
      </c>
      <c r="AB61" s="23">
        <v>0</v>
      </c>
      <c r="AC61" s="22"/>
    </row>
    <row r="62" spans="1:29" ht="28.8" x14ac:dyDescent="0.3">
      <c r="A62" s="33"/>
      <c r="B62" s="31" t="s">
        <v>141</v>
      </c>
      <c r="C62" s="34" t="s">
        <v>142</v>
      </c>
      <c r="D62" s="33" t="s">
        <v>108</v>
      </c>
      <c r="E62" s="21" t="s">
        <v>20</v>
      </c>
      <c r="F62" s="21">
        <v>3</v>
      </c>
      <c r="G62" s="21">
        <f t="shared" si="3"/>
        <v>1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1</v>
      </c>
      <c r="AB62" s="21">
        <v>0</v>
      </c>
      <c r="AC62" s="22"/>
    </row>
    <row r="63" spans="1:29" x14ac:dyDescent="0.3">
      <c r="A63" s="15" t="s">
        <v>103</v>
      </c>
      <c r="B63" s="37" t="s">
        <v>143</v>
      </c>
      <c r="C63" s="32" t="s">
        <v>144</v>
      </c>
      <c r="D63" s="33" t="s">
        <v>56</v>
      </c>
      <c r="E63" s="23" t="s">
        <v>20</v>
      </c>
      <c r="F63" s="16">
        <v>14</v>
      </c>
      <c r="G63" s="16">
        <f t="shared" ref="G63:G112" si="4">IF(SUM(H63:AC63)=0,"",SUM(H63:AC63))</f>
        <v>7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1</v>
      </c>
      <c r="W63" s="16">
        <v>1</v>
      </c>
      <c r="X63" s="16">
        <v>1</v>
      </c>
      <c r="Y63" s="16">
        <v>2</v>
      </c>
      <c r="Z63" s="16">
        <v>1</v>
      </c>
      <c r="AA63" s="16">
        <v>1</v>
      </c>
      <c r="AB63" s="16">
        <v>0</v>
      </c>
      <c r="AC63" s="22"/>
    </row>
    <row r="64" spans="1:29" ht="33" customHeight="1" x14ac:dyDescent="0.3">
      <c r="A64" s="19"/>
      <c r="B64" s="30" t="s">
        <v>145</v>
      </c>
      <c r="C64" s="20" t="s">
        <v>146</v>
      </c>
      <c r="D64" s="19" t="s">
        <v>68</v>
      </c>
      <c r="E64" s="21" t="s">
        <v>20</v>
      </c>
      <c r="F64" s="21">
        <v>4</v>
      </c>
      <c r="G64" s="21">
        <f t="shared" si="4"/>
        <v>2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>
        <v>1</v>
      </c>
      <c r="W64" s="21">
        <v>1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2"/>
    </row>
    <row r="65" spans="1:29" ht="28.8" x14ac:dyDescent="0.3">
      <c r="A65" s="33"/>
      <c r="B65" s="31" t="s">
        <v>147</v>
      </c>
      <c r="C65" s="34" t="s">
        <v>148</v>
      </c>
      <c r="D65" s="33" t="s">
        <v>68</v>
      </c>
      <c r="E65" s="23" t="s">
        <v>20</v>
      </c>
      <c r="F65" s="23">
        <v>5</v>
      </c>
      <c r="G65" s="23">
        <f t="shared" si="4"/>
        <v>3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>
        <v>0</v>
      </c>
      <c r="W65" s="23">
        <v>0</v>
      </c>
      <c r="X65" s="23">
        <v>1</v>
      </c>
      <c r="Y65" s="23">
        <v>1</v>
      </c>
      <c r="Z65" s="23">
        <v>0</v>
      </c>
      <c r="AA65" s="23">
        <v>1</v>
      </c>
      <c r="AB65" s="23">
        <v>0</v>
      </c>
      <c r="AC65" s="22"/>
    </row>
    <row r="66" spans="1:29" ht="28.8" x14ac:dyDescent="0.3">
      <c r="A66" s="19"/>
      <c r="B66" s="30" t="s">
        <v>149</v>
      </c>
      <c r="C66" s="20" t="s">
        <v>150</v>
      </c>
      <c r="D66" s="19" t="s">
        <v>68</v>
      </c>
      <c r="E66" s="21" t="s">
        <v>20</v>
      </c>
      <c r="F66" s="21">
        <v>5</v>
      </c>
      <c r="G66" s="21">
        <f t="shared" si="4"/>
        <v>2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>
        <v>0</v>
      </c>
      <c r="W66" s="21">
        <v>0</v>
      </c>
      <c r="X66" s="21">
        <v>0</v>
      </c>
      <c r="Y66" s="21">
        <v>1</v>
      </c>
      <c r="Z66" s="21">
        <v>1</v>
      </c>
      <c r="AA66" s="21">
        <v>0</v>
      </c>
      <c r="AB66" s="21">
        <v>0</v>
      </c>
      <c r="AC66" s="22"/>
    </row>
    <row r="67" spans="1:29" x14ac:dyDescent="0.3">
      <c r="A67" s="46" t="s">
        <v>151</v>
      </c>
      <c r="B67" s="37" t="s">
        <v>152</v>
      </c>
      <c r="C67" s="32" t="s">
        <v>153</v>
      </c>
      <c r="D67" s="33" t="s">
        <v>85</v>
      </c>
      <c r="E67" s="23" t="s">
        <v>20</v>
      </c>
      <c r="F67" s="16">
        <v>5</v>
      </c>
      <c r="G67" s="16">
        <f t="shared" si="4"/>
        <v>8</v>
      </c>
      <c r="H67" s="16">
        <v>0</v>
      </c>
      <c r="I67" s="16">
        <v>2</v>
      </c>
      <c r="J67" s="16">
        <v>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1</v>
      </c>
      <c r="X67" s="16">
        <v>1</v>
      </c>
      <c r="Y67" s="16">
        <v>0</v>
      </c>
      <c r="Z67" s="16">
        <v>0</v>
      </c>
      <c r="AA67" s="16">
        <v>3</v>
      </c>
      <c r="AB67" s="16">
        <v>0</v>
      </c>
      <c r="AC67" s="22"/>
    </row>
    <row r="68" spans="1:29" ht="24" customHeight="1" x14ac:dyDescent="0.3">
      <c r="A68" s="19"/>
      <c r="B68" s="30" t="s">
        <v>154</v>
      </c>
      <c r="C68" s="20" t="s">
        <v>155</v>
      </c>
      <c r="D68" s="19" t="s">
        <v>56</v>
      </c>
      <c r="E68" s="21" t="s">
        <v>20</v>
      </c>
      <c r="F68" s="21">
        <v>2</v>
      </c>
      <c r="G68" s="21">
        <v>3</v>
      </c>
      <c r="H68" s="21">
        <v>0</v>
      </c>
      <c r="I68" s="21">
        <v>2</v>
      </c>
      <c r="J68" s="21">
        <v>1</v>
      </c>
      <c r="K68" s="21">
        <v>0</v>
      </c>
      <c r="L68" s="21">
        <v>0</v>
      </c>
      <c r="M68" s="21">
        <v>0</v>
      </c>
      <c r="N68" s="21">
        <v>0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2"/>
    </row>
    <row r="69" spans="1:29" ht="34.200000000000003" customHeight="1" x14ac:dyDescent="0.3">
      <c r="A69" s="33"/>
      <c r="B69" s="31" t="s">
        <v>156</v>
      </c>
      <c r="C69" s="34" t="s">
        <v>157</v>
      </c>
      <c r="D69" s="33" t="s">
        <v>56</v>
      </c>
      <c r="E69" s="23" t="s">
        <v>20</v>
      </c>
      <c r="F69" s="23">
        <v>2</v>
      </c>
      <c r="G69" s="23">
        <f t="shared" si="4"/>
        <v>3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>
        <v>0</v>
      </c>
      <c r="W69" s="23">
        <v>1</v>
      </c>
      <c r="X69" s="23">
        <v>1</v>
      </c>
      <c r="Y69" s="23">
        <v>0</v>
      </c>
      <c r="Z69" s="23">
        <v>0</v>
      </c>
      <c r="AA69" s="23">
        <v>1</v>
      </c>
      <c r="AB69" s="23">
        <v>0</v>
      </c>
      <c r="AC69" s="22"/>
    </row>
    <row r="70" spans="1:29" x14ac:dyDescent="0.3">
      <c r="A70" s="19"/>
      <c r="B70" s="30" t="s">
        <v>158</v>
      </c>
      <c r="C70" s="20" t="s">
        <v>159</v>
      </c>
      <c r="D70" s="19" t="s">
        <v>85</v>
      </c>
      <c r="E70" s="21" t="s">
        <v>20</v>
      </c>
      <c r="F70" s="21">
        <v>1</v>
      </c>
      <c r="G70" s="21">
        <f t="shared" si="4"/>
        <v>2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2</v>
      </c>
      <c r="AB70" s="21">
        <v>0</v>
      </c>
      <c r="AC70" s="22"/>
    </row>
    <row r="71" spans="1:29" x14ac:dyDescent="0.3">
      <c r="A71" s="46" t="s">
        <v>151</v>
      </c>
      <c r="B71" s="37" t="s">
        <v>160</v>
      </c>
      <c r="C71" s="32" t="s">
        <v>161</v>
      </c>
      <c r="D71" s="33" t="s">
        <v>56</v>
      </c>
      <c r="E71" s="23" t="s">
        <v>20</v>
      </c>
      <c r="F71" s="16">
        <v>9</v>
      </c>
      <c r="G71" s="16">
        <f t="shared" si="4"/>
        <v>8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1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2</v>
      </c>
      <c r="Y71" s="16">
        <v>3</v>
      </c>
      <c r="Z71" s="16">
        <v>0</v>
      </c>
      <c r="AA71" s="16">
        <v>1</v>
      </c>
      <c r="AB71" s="16">
        <v>0</v>
      </c>
      <c r="AC71" s="22"/>
    </row>
    <row r="72" spans="1:29" ht="28.8" x14ac:dyDescent="0.3">
      <c r="A72" s="19"/>
      <c r="B72" s="30" t="s">
        <v>162</v>
      </c>
      <c r="C72" s="20" t="s">
        <v>163</v>
      </c>
      <c r="D72" s="19" t="s">
        <v>63</v>
      </c>
      <c r="E72" s="21" t="s">
        <v>20</v>
      </c>
      <c r="F72" s="21">
        <v>3</v>
      </c>
      <c r="G72" s="21">
        <f t="shared" si="4"/>
        <v>2</v>
      </c>
      <c r="H72" s="21"/>
      <c r="I72" s="21"/>
      <c r="J72" s="21"/>
      <c r="K72" s="21"/>
      <c r="L72" s="21"/>
      <c r="M72" s="21"/>
      <c r="N72" s="21"/>
      <c r="O72" s="21">
        <v>1</v>
      </c>
      <c r="P72" s="21">
        <v>1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/>
      <c r="W72" s="21"/>
      <c r="X72" s="21"/>
      <c r="Y72" s="21"/>
      <c r="Z72" s="21"/>
      <c r="AA72" s="21"/>
      <c r="AB72" s="21"/>
      <c r="AC72" s="22"/>
    </row>
    <row r="73" spans="1:29" ht="37.950000000000003" customHeight="1" x14ac:dyDescent="0.3">
      <c r="A73" s="33"/>
      <c r="B73" s="31" t="s">
        <v>164</v>
      </c>
      <c r="C73" s="34" t="s">
        <v>165</v>
      </c>
      <c r="D73" s="33" t="s">
        <v>63</v>
      </c>
      <c r="E73" s="23" t="s">
        <v>20</v>
      </c>
      <c r="F73" s="23">
        <v>4</v>
      </c>
      <c r="G73" s="23">
        <f t="shared" si="4"/>
        <v>5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>
        <v>0</v>
      </c>
      <c r="W73" s="23">
        <v>0</v>
      </c>
      <c r="X73" s="23">
        <v>2</v>
      </c>
      <c r="Y73" s="23">
        <v>3</v>
      </c>
      <c r="Z73" s="23">
        <v>0</v>
      </c>
      <c r="AA73" s="23">
        <v>0</v>
      </c>
      <c r="AB73" s="23">
        <v>0</v>
      </c>
      <c r="AC73" s="22"/>
    </row>
    <row r="74" spans="1:29" ht="33.6" customHeight="1" x14ac:dyDescent="0.3">
      <c r="A74" s="19"/>
      <c r="B74" s="30" t="s">
        <v>166</v>
      </c>
      <c r="C74" s="20" t="s">
        <v>167</v>
      </c>
      <c r="D74" s="19" t="s">
        <v>108</v>
      </c>
      <c r="E74" s="21" t="s">
        <v>20</v>
      </c>
      <c r="F74" s="21">
        <v>2</v>
      </c>
      <c r="G74" s="21">
        <f t="shared" si="4"/>
        <v>1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1</v>
      </c>
      <c r="AB74" s="21">
        <v>0</v>
      </c>
      <c r="AC74" s="22"/>
    </row>
    <row r="75" spans="1:29" x14ac:dyDescent="0.3">
      <c r="A75" s="46" t="s">
        <v>151</v>
      </c>
      <c r="B75" s="37" t="s">
        <v>168</v>
      </c>
      <c r="C75" s="32" t="s">
        <v>169</v>
      </c>
      <c r="D75" s="33" t="s">
        <v>85</v>
      </c>
      <c r="E75" s="23" t="s">
        <v>20</v>
      </c>
      <c r="F75" s="16">
        <v>17</v>
      </c>
      <c r="G75" s="16">
        <f t="shared" si="4"/>
        <v>10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</v>
      </c>
      <c r="W75" s="16">
        <v>2</v>
      </c>
      <c r="X75" s="16">
        <v>2</v>
      </c>
      <c r="Y75" s="16">
        <v>1</v>
      </c>
      <c r="Z75" s="16">
        <v>3</v>
      </c>
      <c r="AA75" s="16">
        <v>1</v>
      </c>
      <c r="AB75" s="16">
        <v>0</v>
      </c>
      <c r="AC75" s="22"/>
    </row>
    <row r="76" spans="1:29" ht="28.8" x14ac:dyDescent="0.3">
      <c r="A76" s="19"/>
      <c r="B76" s="30" t="s">
        <v>170</v>
      </c>
      <c r="C76" s="20" t="s">
        <v>171</v>
      </c>
      <c r="D76" s="19" t="s">
        <v>68</v>
      </c>
      <c r="E76" s="21" t="s">
        <v>20</v>
      </c>
      <c r="F76" s="21">
        <v>8</v>
      </c>
      <c r="G76" s="21">
        <f t="shared" si="4"/>
        <v>6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>
        <v>1</v>
      </c>
      <c r="W76" s="21">
        <v>2</v>
      </c>
      <c r="X76" s="21">
        <v>2</v>
      </c>
      <c r="Y76" s="21">
        <v>1</v>
      </c>
      <c r="Z76" s="21">
        <v>0</v>
      </c>
      <c r="AA76" s="21">
        <v>0</v>
      </c>
      <c r="AB76" s="21">
        <v>0</v>
      </c>
      <c r="AC76" s="22"/>
    </row>
    <row r="77" spans="1:29" ht="28.8" x14ac:dyDescent="0.3">
      <c r="A77" s="33"/>
      <c r="B77" s="31" t="s">
        <v>172</v>
      </c>
      <c r="C77" s="34" t="s">
        <v>173</v>
      </c>
      <c r="D77" s="33" t="s">
        <v>68</v>
      </c>
      <c r="E77" s="23" t="s">
        <v>20</v>
      </c>
      <c r="F77" s="23">
        <v>6</v>
      </c>
      <c r="G77" s="23">
        <f t="shared" si="4"/>
        <v>2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>
        <v>0</v>
      </c>
      <c r="W77" s="23">
        <v>0</v>
      </c>
      <c r="X77" s="23">
        <v>0</v>
      </c>
      <c r="Y77" s="23">
        <v>0</v>
      </c>
      <c r="Z77" s="23">
        <v>1</v>
      </c>
      <c r="AA77" s="23">
        <v>1</v>
      </c>
      <c r="AB77" s="23">
        <v>0</v>
      </c>
      <c r="AC77" s="22"/>
    </row>
    <row r="78" spans="1:29" ht="28.8" x14ac:dyDescent="0.3">
      <c r="A78" s="19"/>
      <c r="B78" s="30" t="s">
        <v>174</v>
      </c>
      <c r="C78" s="20" t="s">
        <v>175</v>
      </c>
      <c r="D78" s="19" t="s">
        <v>108</v>
      </c>
      <c r="E78" s="21" t="s">
        <v>20</v>
      </c>
      <c r="F78" s="21">
        <v>3</v>
      </c>
      <c r="G78" s="21">
        <f t="shared" si="4"/>
        <v>2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>
        <v>0</v>
      </c>
      <c r="W78" s="21">
        <v>0</v>
      </c>
      <c r="X78" s="21">
        <v>0</v>
      </c>
      <c r="Y78" s="21">
        <v>0</v>
      </c>
      <c r="Z78" s="21">
        <v>2</v>
      </c>
      <c r="AA78" s="21">
        <v>0</v>
      </c>
      <c r="AB78" s="21">
        <v>0</v>
      </c>
      <c r="AC78" s="22"/>
    </row>
    <row r="79" spans="1:29" ht="21" customHeight="1" x14ac:dyDescent="0.3">
      <c r="A79" s="46" t="s">
        <v>151</v>
      </c>
      <c r="B79" s="37" t="s">
        <v>176</v>
      </c>
      <c r="C79" s="32" t="s">
        <v>177</v>
      </c>
      <c r="D79" s="33" t="s">
        <v>85</v>
      </c>
      <c r="E79" s="23" t="s">
        <v>20</v>
      </c>
      <c r="F79" s="16">
        <v>15</v>
      </c>
      <c r="G79" s="16">
        <f t="shared" si="4"/>
        <v>11</v>
      </c>
      <c r="H79" s="16">
        <v>2</v>
      </c>
      <c r="I79" s="16">
        <v>1</v>
      </c>
      <c r="J79" s="16">
        <v>2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1</v>
      </c>
      <c r="Z79" s="16">
        <v>4</v>
      </c>
      <c r="AA79" s="16">
        <v>1</v>
      </c>
      <c r="AB79" s="16">
        <v>0</v>
      </c>
      <c r="AC79" s="22"/>
    </row>
    <row r="80" spans="1:29" ht="28.8" x14ac:dyDescent="0.3">
      <c r="A80" s="19"/>
      <c r="B80" s="30" t="s">
        <v>178</v>
      </c>
      <c r="C80" s="20" t="s">
        <v>179</v>
      </c>
      <c r="D80" s="19" t="s">
        <v>77</v>
      </c>
      <c r="E80" s="21" t="s">
        <v>20</v>
      </c>
      <c r="F80" s="21">
        <v>6</v>
      </c>
      <c r="G80" s="21">
        <v>5</v>
      </c>
      <c r="H80" s="21">
        <v>2</v>
      </c>
      <c r="I80" s="21">
        <v>1</v>
      </c>
      <c r="J80" s="21">
        <v>2</v>
      </c>
      <c r="K80" s="21">
        <v>0</v>
      </c>
      <c r="L80" s="21">
        <v>0</v>
      </c>
      <c r="M80" s="1">
        <v>0</v>
      </c>
      <c r="N80" s="21">
        <v>0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2"/>
    </row>
    <row r="81" spans="1:29" ht="28.8" x14ac:dyDescent="0.3">
      <c r="A81" s="33"/>
      <c r="B81" s="31" t="s">
        <v>180</v>
      </c>
      <c r="C81" s="34" t="s">
        <v>181</v>
      </c>
      <c r="D81" s="33" t="s">
        <v>77</v>
      </c>
      <c r="E81" s="23" t="s">
        <v>20</v>
      </c>
      <c r="F81" s="23">
        <v>6</v>
      </c>
      <c r="G81" s="23">
        <f t="shared" si="4"/>
        <v>4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>
        <v>0</v>
      </c>
      <c r="W81" s="23">
        <v>0</v>
      </c>
      <c r="X81" s="23">
        <v>0</v>
      </c>
      <c r="Y81" s="23">
        <v>1</v>
      </c>
      <c r="Z81" s="23">
        <v>2</v>
      </c>
      <c r="AA81" s="23">
        <v>1</v>
      </c>
      <c r="AB81" s="23">
        <v>0</v>
      </c>
      <c r="AC81" s="22"/>
    </row>
    <row r="82" spans="1:29" x14ac:dyDescent="0.3">
      <c r="A82" s="19"/>
      <c r="B82" s="30" t="s">
        <v>182</v>
      </c>
      <c r="C82" s="20" t="s">
        <v>183</v>
      </c>
      <c r="D82" s="19" t="s">
        <v>63</v>
      </c>
      <c r="E82" s="21" t="s">
        <v>20</v>
      </c>
      <c r="F82" s="21">
        <v>3</v>
      </c>
      <c r="G82" s="21">
        <f t="shared" si="4"/>
        <v>2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>
        <v>0</v>
      </c>
      <c r="W82" s="21">
        <v>0</v>
      </c>
      <c r="X82" s="21">
        <v>0</v>
      </c>
      <c r="Y82" s="21">
        <v>0</v>
      </c>
      <c r="Z82" s="21">
        <v>2</v>
      </c>
      <c r="AA82" s="21">
        <v>0</v>
      </c>
      <c r="AB82" s="21">
        <v>0</v>
      </c>
      <c r="AC82" s="22"/>
    </row>
    <row r="83" spans="1:29" x14ac:dyDescent="0.3">
      <c r="A83" s="35" t="s">
        <v>184</v>
      </c>
      <c r="B83" s="37" t="s">
        <v>185</v>
      </c>
      <c r="C83" s="32" t="s">
        <v>186</v>
      </c>
      <c r="D83" s="33" t="s">
        <v>19</v>
      </c>
      <c r="E83" s="23" t="s">
        <v>20</v>
      </c>
      <c r="F83" s="16">
        <v>9</v>
      </c>
      <c r="G83" s="16">
        <f t="shared" si="4"/>
        <v>6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1</v>
      </c>
      <c r="P83" s="16">
        <v>1</v>
      </c>
      <c r="Q83" s="16">
        <v>1</v>
      </c>
      <c r="R83" s="16">
        <v>2</v>
      </c>
      <c r="S83" s="16">
        <v>1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22"/>
    </row>
    <row r="84" spans="1:29" ht="33" customHeight="1" x14ac:dyDescent="0.3">
      <c r="A84" s="19"/>
      <c r="B84" s="30" t="s">
        <v>187</v>
      </c>
      <c r="C84" s="20" t="s">
        <v>188</v>
      </c>
      <c r="D84" s="19" t="s">
        <v>77</v>
      </c>
      <c r="E84" s="21" t="s">
        <v>20</v>
      </c>
      <c r="F84" s="21">
        <v>4</v>
      </c>
      <c r="G84" s="21">
        <f t="shared" si="4"/>
        <v>3</v>
      </c>
      <c r="H84" s="21"/>
      <c r="I84" s="21"/>
      <c r="J84" s="21"/>
      <c r="K84" s="21"/>
      <c r="L84" s="21"/>
      <c r="M84" s="21"/>
      <c r="N84" s="21"/>
      <c r="O84" s="21">
        <v>1</v>
      </c>
      <c r="P84" s="21">
        <v>1</v>
      </c>
      <c r="Q84" s="21">
        <v>1</v>
      </c>
      <c r="R84" s="21">
        <v>0</v>
      </c>
      <c r="S84" s="21">
        <v>0</v>
      </c>
      <c r="T84" s="21">
        <v>0</v>
      </c>
      <c r="U84" s="21">
        <v>0</v>
      </c>
      <c r="V84" s="21"/>
      <c r="W84" s="21"/>
      <c r="X84" s="21"/>
      <c r="Y84" s="21"/>
      <c r="Z84" s="21"/>
      <c r="AA84" s="21"/>
      <c r="AB84" s="21"/>
      <c r="AC84" s="22"/>
    </row>
    <row r="85" spans="1:29" ht="28.8" x14ac:dyDescent="0.3">
      <c r="A85" s="33"/>
      <c r="B85" s="31" t="s">
        <v>189</v>
      </c>
      <c r="C85" s="34" t="s">
        <v>190</v>
      </c>
      <c r="D85" s="33" t="s">
        <v>77</v>
      </c>
      <c r="E85" s="23" t="s">
        <v>20</v>
      </c>
      <c r="F85" s="23">
        <v>3</v>
      </c>
      <c r="G85" s="23">
        <f t="shared" si="4"/>
        <v>2</v>
      </c>
      <c r="H85" s="23"/>
      <c r="I85" s="23"/>
      <c r="J85" s="23"/>
      <c r="K85" s="23"/>
      <c r="L85" s="23"/>
      <c r="M85" s="23"/>
      <c r="N85" s="23"/>
      <c r="O85" s="23">
        <v>0</v>
      </c>
      <c r="P85" s="23">
        <v>0</v>
      </c>
      <c r="Q85" s="23">
        <v>0</v>
      </c>
      <c r="R85" s="23">
        <v>2</v>
      </c>
      <c r="S85" s="23">
        <v>0</v>
      </c>
      <c r="T85" s="23">
        <v>0</v>
      </c>
      <c r="U85" s="23">
        <v>0</v>
      </c>
      <c r="V85" s="23"/>
      <c r="W85" s="23"/>
      <c r="X85" s="23"/>
      <c r="Y85" s="23"/>
      <c r="Z85" s="23"/>
      <c r="AA85" s="23"/>
      <c r="AB85" s="23"/>
      <c r="AC85" s="22"/>
    </row>
    <row r="86" spans="1:29" ht="28.8" x14ac:dyDescent="0.3">
      <c r="A86" s="19"/>
      <c r="B86" s="30" t="s">
        <v>191</v>
      </c>
      <c r="C86" s="20" t="s">
        <v>192</v>
      </c>
      <c r="D86" s="19" t="s">
        <v>42</v>
      </c>
      <c r="E86" s="21" t="s">
        <v>20</v>
      </c>
      <c r="F86" s="21">
        <v>2</v>
      </c>
      <c r="G86" s="21">
        <f t="shared" si="4"/>
        <v>1</v>
      </c>
      <c r="H86" s="21"/>
      <c r="I86" s="21"/>
      <c r="J86" s="21"/>
      <c r="K86" s="21"/>
      <c r="L86" s="21"/>
      <c r="M86" s="21"/>
      <c r="N86" s="21"/>
      <c r="O86" s="21">
        <v>0</v>
      </c>
      <c r="P86" s="21">
        <v>0</v>
      </c>
      <c r="Q86" s="21">
        <v>0</v>
      </c>
      <c r="R86" s="21">
        <v>0</v>
      </c>
      <c r="S86" s="21">
        <v>1</v>
      </c>
      <c r="T86" s="21">
        <v>0</v>
      </c>
      <c r="U86" s="21">
        <v>0</v>
      </c>
      <c r="V86" s="21"/>
      <c r="W86" s="21"/>
      <c r="X86" s="21"/>
      <c r="Y86" s="21"/>
      <c r="Z86" s="21"/>
      <c r="AA86" s="21"/>
      <c r="AB86" s="21"/>
      <c r="AC86" s="22"/>
    </row>
    <row r="87" spans="1:29" x14ac:dyDescent="0.3">
      <c r="A87" s="35" t="s">
        <v>184</v>
      </c>
      <c r="B87" s="37" t="s">
        <v>193</v>
      </c>
      <c r="C87" s="32" t="s">
        <v>194</v>
      </c>
      <c r="D87" s="33" t="s">
        <v>19</v>
      </c>
      <c r="E87" s="23" t="s">
        <v>20</v>
      </c>
      <c r="F87" s="16">
        <v>6</v>
      </c>
      <c r="G87" s="16">
        <f t="shared" si="4"/>
        <v>3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1</v>
      </c>
      <c r="Q87" s="16">
        <v>2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22"/>
    </row>
    <row r="88" spans="1:29" ht="28.8" x14ac:dyDescent="0.3">
      <c r="A88" s="19"/>
      <c r="B88" s="30" t="s">
        <v>195</v>
      </c>
      <c r="C88" s="20" t="s">
        <v>196</v>
      </c>
      <c r="D88" s="19" t="s">
        <v>77</v>
      </c>
      <c r="E88" s="21" t="s">
        <v>20</v>
      </c>
      <c r="F88" s="21">
        <v>2</v>
      </c>
      <c r="G88" s="21">
        <f t="shared" si="4"/>
        <v>1</v>
      </c>
      <c r="H88" s="21"/>
      <c r="I88" s="21"/>
      <c r="J88" s="21"/>
      <c r="K88" s="21"/>
      <c r="L88" s="21"/>
      <c r="M88" s="21"/>
      <c r="N88" s="21"/>
      <c r="O88" s="21">
        <v>0</v>
      </c>
      <c r="P88" s="21">
        <v>1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/>
      <c r="W88" s="21"/>
      <c r="X88" s="21"/>
      <c r="Y88" s="21"/>
      <c r="Z88" s="21"/>
      <c r="AA88" s="21"/>
      <c r="AB88" s="21"/>
      <c r="AC88" s="22"/>
    </row>
    <row r="89" spans="1:29" ht="36" customHeight="1" x14ac:dyDescent="0.3">
      <c r="A89" s="33"/>
      <c r="B89" s="31" t="s">
        <v>197</v>
      </c>
      <c r="C89" s="34" t="s">
        <v>198</v>
      </c>
      <c r="D89" s="33" t="s">
        <v>77</v>
      </c>
      <c r="E89" s="23" t="s">
        <v>20</v>
      </c>
      <c r="F89" s="23">
        <v>3</v>
      </c>
      <c r="G89" s="23">
        <f t="shared" si="4"/>
        <v>1</v>
      </c>
      <c r="H89" s="23"/>
      <c r="I89" s="23"/>
      <c r="J89" s="23"/>
      <c r="K89" s="23"/>
      <c r="L89" s="23"/>
      <c r="M89" s="23"/>
      <c r="N89" s="23"/>
      <c r="O89" s="23">
        <v>0</v>
      </c>
      <c r="P89" s="23">
        <v>0</v>
      </c>
      <c r="Q89" s="23">
        <v>1</v>
      </c>
      <c r="R89" s="23">
        <v>0</v>
      </c>
      <c r="S89" s="23">
        <v>0</v>
      </c>
      <c r="T89" s="23">
        <v>0</v>
      </c>
      <c r="U89" s="23">
        <v>0</v>
      </c>
      <c r="V89" s="23"/>
      <c r="W89" s="23"/>
      <c r="X89" s="23"/>
      <c r="Y89" s="23"/>
      <c r="Z89" s="23"/>
      <c r="AA89" s="23"/>
      <c r="AB89" s="23"/>
      <c r="AC89" s="22"/>
    </row>
    <row r="90" spans="1:29" ht="28.8" x14ac:dyDescent="0.3">
      <c r="A90" s="19"/>
      <c r="B90" s="30" t="s">
        <v>199</v>
      </c>
      <c r="C90" s="20" t="s">
        <v>200</v>
      </c>
      <c r="D90" s="19" t="s">
        <v>63</v>
      </c>
      <c r="E90" s="21" t="s">
        <v>20</v>
      </c>
      <c r="F90" s="21">
        <v>1</v>
      </c>
      <c r="G90" s="21">
        <f t="shared" si="4"/>
        <v>1</v>
      </c>
      <c r="H90" s="21"/>
      <c r="I90" s="21"/>
      <c r="J90" s="21"/>
      <c r="K90" s="21"/>
      <c r="L90" s="21"/>
      <c r="M90" s="21"/>
      <c r="N90" s="21"/>
      <c r="O90" s="21">
        <v>0</v>
      </c>
      <c r="P90" s="21">
        <v>0</v>
      </c>
      <c r="Q90" s="21">
        <v>1</v>
      </c>
      <c r="R90" s="21">
        <v>0</v>
      </c>
      <c r="S90" s="21">
        <v>0</v>
      </c>
      <c r="T90" s="21">
        <v>0</v>
      </c>
      <c r="U90" s="21">
        <v>0</v>
      </c>
      <c r="V90" s="21"/>
      <c r="W90" s="21"/>
      <c r="X90" s="21"/>
      <c r="Y90" s="21"/>
      <c r="Z90" s="21"/>
      <c r="AA90" s="21"/>
      <c r="AB90" s="21"/>
      <c r="AC90" s="22"/>
    </row>
    <row r="91" spans="1:29" x14ac:dyDescent="0.3">
      <c r="A91" s="35" t="s">
        <v>184</v>
      </c>
      <c r="B91" s="37" t="s">
        <v>201</v>
      </c>
      <c r="C91" s="32" t="s">
        <v>202</v>
      </c>
      <c r="D91" s="33" t="s">
        <v>23</v>
      </c>
      <c r="E91" s="23" t="s">
        <v>20</v>
      </c>
      <c r="F91" s="16">
        <v>3</v>
      </c>
      <c r="G91" s="16">
        <f t="shared" si="4"/>
        <v>3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2</v>
      </c>
      <c r="Q91" s="16">
        <v>1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22"/>
    </row>
    <row r="92" spans="1:29" ht="28.8" x14ac:dyDescent="0.3">
      <c r="A92" s="19"/>
      <c r="B92" s="30" t="s">
        <v>203</v>
      </c>
      <c r="C92" s="20" t="s">
        <v>204</v>
      </c>
      <c r="D92" s="19" t="s">
        <v>23</v>
      </c>
      <c r="E92" s="21" t="s">
        <v>20</v>
      </c>
      <c r="F92" s="21">
        <v>2</v>
      </c>
      <c r="G92" s="21">
        <f t="shared" si="4"/>
        <v>2</v>
      </c>
      <c r="H92" s="21"/>
      <c r="I92" s="21"/>
      <c r="J92" s="21"/>
      <c r="K92" s="21"/>
      <c r="L92" s="21"/>
      <c r="M92" s="21"/>
      <c r="N92" s="21"/>
      <c r="O92" s="21">
        <v>0</v>
      </c>
      <c r="P92" s="21">
        <v>2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/>
      <c r="W92" s="21"/>
      <c r="X92" s="21"/>
      <c r="Y92" s="21"/>
      <c r="Z92" s="21"/>
      <c r="AA92" s="21"/>
      <c r="AB92" s="21"/>
      <c r="AC92" s="22"/>
    </row>
    <row r="93" spans="1:29" x14ac:dyDescent="0.3">
      <c r="A93" s="33"/>
      <c r="B93" s="31" t="s">
        <v>205</v>
      </c>
      <c r="C93" s="34" t="s">
        <v>206</v>
      </c>
      <c r="D93" s="33" t="s">
        <v>108</v>
      </c>
      <c r="E93" s="23" t="s">
        <v>20</v>
      </c>
      <c r="F93" s="23">
        <v>1</v>
      </c>
      <c r="G93" s="23">
        <f t="shared" si="4"/>
        <v>1</v>
      </c>
      <c r="H93" s="23"/>
      <c r="I93" s="23"/>
      <c r="J93" s="23"/>
      <c r="K93" s="23"/>
      <c r="L93" s="23"/>
      <c r="M93" s="23"/>
      <c r="N93" s="23"/>
      <c r="O93" s="23">
        <v>0</v>
      </c>
      <c r="P93" s="23">
        <v>0</v>
      </c>
      <c r="Q93" s="23">
        <v>1</v>
      </c>
      <c r="R93" s="23">
        <v>0</v>
      </c>
      <c r="S93" s="23">
        <v>0</v>
      </c>
      <c r="T93" s="23">
        <v>0</v>
      </c>
      <c r="U93" s="23">
        <v>0</v>
      </c>
      <c r="V93" s="23"/>
      <c r="W93" s="23"/>
      <c r="X93" s="23"/>
      <c r="Y93" s="23"/>
      <c r="Z93" s="23"/>
      <c r="AA93" s="23"/>
      <c r="AB93" s="23"/>
      <c r="AC93" s="22"/>
    </row>
    <row r="94" spans="1:29" ht="21" customHeight="1" x14ac:dyDescent="0.3">
      <c r="A94" s="35" t="s">
        <v>184</v>
      </c>
      <c r="B94" s="37" t="s">
        <v>207</v>
      </c>
      <c r="C94" s="32" t="s">
        <v>208</v>
      </c>
      <c r="D94" s="33" t="s">
        <v>23</v>
      </c>
      <c r="E94" s="21" t="s">
        <v>20</v>
      </c>
      <c r="F94" s="16">
        <v>7</v>
      </c>
      <c r="G94" s="16">
        <f t="shared" si="4"/>
        <v>6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4</v>
      </c>
      <c r="S94" s="16">
        <v>1</v>
      </c>
      <c r="T94" s="16">
        <v>1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22"/>
    </row>
    <row r="95" spans="1:29" ht="28.8" x14ac:dyDescent="0.3">
      <c r="A95" s="19"/>
      <c r="B95" s="30" t="s">
        <v>209</v>
      </c>
      <c r="C95" s="20" t="s">
        <v>210</v>
      </c>
      <c r="D95" s="19" t="s">
        <v>42</v>
      </c>
      <c r="E95" s="23" t="s">
        <v>20</v>
      </c>
      <c r="F95" s="23">
        <v>2</v>
      </c>
      <c r="G95" s="23">
        <f t="shared" si="4"/>
        <v>2</v>
      </c>
      <c r="H95" s="23"/>
      <c r="I95" s="23"/>
      <c r="J95" s="23"/>
      <c r="K95" s="23"/>
      <c r="L95" s="23"/>
      <c r="M95" s="23"/>
      <c r="N95" s="23"/>
      <c r="O95" s="23">
        <v>0</v>
      </c>
      <c r="P95" s="23">
        <v>0</v>
      </c>
      <c r="Q95" s="23">
        <v>0</v>
      </c>
      <c r="R95" s="23">
        <v>2</v>
      </c>
      <c r="S95" s="23">
        <v>0</v>
      </c>
      <c r="T95" s="23">
        <v>0</v>
      </c>
      <c r="U95" s="23">
        <v>0</v>
      </c>
      <c r="V95" s="23"/>
      <c r="W95" s="23"/>
      <c r="X95" s="23"/>
      <c r="Y95" s="23"/>
      <c r="Z95" s="23"/>
      <c r="AA95" s="23"/>
      <c r="AB95" s="23"/>
      <c r="AC95" s="22"/>
    </row>
    <row r="96" spans="1:29" ht="28.8" x14ac:dyDescent="0.3">
      <c r="A96" s="33"/>
      <c r="B96" s="31" t="s">
        <v>211</v>
      </c>
      <c r="C96" s="34" t="s">
        <v>212</v>
      </c>
      <c r="D96" s="33" t="s">
        <v>42</v>
      </c>
      <c r="E96" s="21" t="s">
        <v>20</v>
      </c>
      <c r="F96" s="21">
        <v>3</v>
      </c>
      <c r="G96" s="21">
        <f t="shared" si="4"/>
        <v>1</v>
      </c>
      <c r="H96" s="21"/>
      <c r="I96" s="21"/>
      <c r="J96" s="21"/>
      <c r="K96" s="21"/>
      <c r="L96" s="21"/>
      <c r="M96" s="21"/>
      <c r="N96" s="21"/>
      <c r="O96" s="21">
        <v>0</v>
      </c>
      <c r="P96" s="21">
        <v>0</v>
      </c>
      <c r="Q96" s="21">
        <v>0</v>
      </c>
      <c r="R96" s="21">
        <v>1</v>
      </c>
      <c r="S96" s="21">
        <v>0</v>
      </c>
      <c r="T96" s="21">
        <v>0</v>
      </c>
      <c r="U96" s="21">
        <v>0</v>
      </c>
      <c r="V96" s="21"/>
      <c r="W96" s="21"/>
      <c r="X96" s="21"/>
      <c r="Y96" s="21"/>
      <c r="Z96" s="21"/>
      <c r="AA96" s="21"/>
      <c r="AB96" s="21"/>
      <c r="AC96" s="22"/>
    </row>
    <row r="97" spans="1:29" ht="28.8" x14ac:dyDescent="0.3">
      <c r="A97" s="19"/>
      <c r="B97" s="30" t="s">
        <v>213</v>
      </c>
      <c r="C97" s="20" t="s">
        <v>214</v>
      </c>
      <c r="D97" s="19" t="s">
        <v>108</v>
      </c>
      <c r="E97" s="23" t="s">
        <v>20</v>
      </c>
      <c r="F97" s="23">
        <v>2</v>
      </c>
      <c r="G97" s="23">
        <f t="shared" si="4"/>
        <v>3</v>
      </c>
      <c r="H97" s="23"/>
      <c r="I97" s="23"/>
      <c r="J97" s="23"/>
      <c r="K97" s="23"/>
      <c r="L97" s="23"/>
      <c r="M97" s="23"/>
      <c r="N97" s="23"/>
      <c r="O97" s="23">
        <v>0</v>
      </c>
      <c r="P97" s="23">
        <v>0</v>
      </c>
      <c r="Q97" s="23">
        <v>0</v>
      </c>
      <c r="R97" s="23">
        <v>1</v>
      </c>
      <c r="S97" s="23">
        <v>1</v>
      </c>
      <c r="T97" s="23">
        <v>1</v>
      </c>
      <c r="U97" s="23">
        <v>0</v>
      </c>
      <c r="V97" s="23"/>
      <c r="W97" s="23"/>
      <c r="X97" s="23"/>
      <c r="Y97" s="23"/>
      <c r="Z97" s="23"/>
      <c r="AA97" s="23"/>
      <c r="AB97" s="23"/>
      <c r="AC97" s="22"/>
    </row>
    <row r="98" spans="1:29" x14ac:dyDescent="0.3">
      <c r="A98" s="35" t="s">
        <v>184</v>
      </c>
      <c r="B98" s="37" t="s">
        <v>215</v>
      </c>
      <c r="C98" s="32" t="s">
        <v>216</v>
      </c>
      <c r="D98" s="33" t="s">
        <v>63</v>
      </c>
      <c r="E98" s="21" t="s">
        <v>20</v>
      </c>
      <c r="F98" s="16">
        <v>7</v>
      </c>
      <c r="G98" s="16">
        <f t="shared" si="4"/>
        <v>5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3</v>
      </c>
      <c r="S98" s="16">
        <v>0</v>
      </c>
      <c r="T98" s="16">
        <v>2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22"/>
    </row>
    <row r="99" spans="1:29" ht="35.4" customHeight="1" x14ac:dyDescent="0.3">
      <c r="A99" s="19"/>
      <c r="B99" s="30" t="s">
        <v>217</v>
      </c>
      <c r="C99" s="20" t="s">
        <v>218</v>
      </c>
      <c r="D99" s="19" t="s">
        <v>19</v>
      </c>
      <c r="E99" s="23" t="s">
        <v>20</v>
      </c>
      <c r="F99" s="23">
        <v>2</v>
      </c>
      <c r="G99" s="23">
        <f t="shared" si="4"/>
        <v>2</v>
      </c>
      <c r="H99" s="23"/>
      <c r="I99" s="23"/>
      <c r="J99" s="23"/>
      <c r="K99" s="23"/>
      <c r="L99" s="23"/>
      <c r="M99" s="23"/>
      <c r="N99" s="23"/>
      <c r="O99" s="23">
        <v>0</v>
      </c>
      <c r="P99" s="23">
        <v>0</v>
      </c>
      <c r="Q99" s="23">
        <v>0</v>
      </c>
      <c r="R99" s="23">
        <v>2</v>
      </c>
      <c r="S99" s="23">
        <v>0</v>
      </c>
      <c r="T99" s="23">
        <v>0</v>
      </c>
      <c r="U99" s="23">
        <v>0</v>
      </c>
      <c r="V99" s="23"/>
      <c r="W99" s="23"/>
      <c r="X99" s="23"/>
      <c r="Y99" s="23"/>
      <c r="Z99" s="23"/>
      <c r="AA99" s="23"/>
      <c r="AB99" s="23"/>
      <c r="AC99" s="22"/>
    </row>
    <row r="100" spans="1:29" ht="28.8" x14ac:dyDescent="0.3">
      <c r="A100" s="33"/>
      <c r="B100" s="31" t="s">
        <v>219</v>
      </c>
      <c r="C100" s="34" t="s">
        <v>220</v>
      </c>
      <c r="D100" s="33" t="s">
        <v>19</v>
      </c>
      <c r="E100" s="21" t="s">
        <v>20</v>
      </c>
      <c r="F100" s="21">
        <v>3</v>
      </c>
      <c r="G100" s="21">
        <f t="shared" si="4"/>
        <v>1</v>
      </c>
      <c r="H100" s="21"/>
      <c r="I100" s="21"/>
      <c r="J100" s="21"/>
      <c r="K100" s="21"/>
      <c r="L100" s="21"/>
      <c r="M100" s="21"/>
      <c r="N100" s="21"/>
      <c r="O100" s="21">
        <v>0</v>
      </c>
      <c r="P100" s="21">
        <v>0</v>
      </c>
      <c r="Q100" s="21">
        <v>0</v>
      </c>
      <c r="R100" s="21">
        <v>1</v>
      </c>
      <c r="S100" s="21">
        <v>0</v>
      </c>
      <c r="T100" s="21">
        <v>0</v>
      </c>
      <c r="U100" s="21">
        <v>0</v>
      </c>
      <c r="V100" s="21"/>
      <c r="W100" s="21"/>
      <c r="X100" s="21"/>
      <c r="Y100" s="21"/>
      <c r="Z100" s="21"/>
      <c r="AA100" s="21"/>
      <c r="AB100" s="21"/>
      <c r="AC100" s="22"/>
    </row>
    <row r="101" spans="1:29" ht="28.8" x14ac:dyDescent="0.3">
      <c r="A101" s="19"/>
      <c r="B101" s="30" t="s">
        <v>221</v>
      </c>
      <c r="C101" s="20" t="s">
        <v>222</v>
      </c>
      <c r="D101" s="19" t="s">
        <v>85</v>
      </c>
      <c r="E101" s="23" t="s">
        <v>20</v>
      </c>
      <c r="F101" s="23">
        <v>2</v>
      </c>
      <c r="G101" s="23">
        <f t="shared" si="4"/>
        <v>2</v>
      </c>
      <c r="H101" s="23"/>
      <c r="I101" s="23"/>
      <c r="J101" s="23"/>
      <c r="K101" s="23"/>
      <c r="L101" s="23"/>
      <c r="M101" s="23"/>
      <c r="N101" s="23"/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2</v>
      </c>
      <c r="U101" s="23">
        <v>0</v>
      </c>
      <c r="V101" s="23"/>
      <c r="W101" s="23"/>
      <c r="X101" s="23"/>
      <c r="Y101" s="23"/>
      <c r="Z101" s="23"/>
      <c r="AA101" s="23"/>
      <c r="AB101" s="23"/>
      <c r="AC101" s="22"/>
    </row>
    <row r="102" spans="1:29" x14ac:dyDescent="0.3">
      <c r="A102" s="35" t="s">
        <v>184</v>
      </c>
      <c r="B102" s="37" t="s">
        <v>223</v>
      </c>
      <c r="C102" s="32" t="s">
        <v>224</v>
      </c>
      <c r="D102" s="33" t="s">
        <v>19</v>
      </c>
      <c r="E102" s="21" t="s">
        <v>20</v>
      </c>
      <c r="F102" s="16">
        <v>8</v>
      </c>
      <c r="G102" s="16">
        <f t="shared" si="4"/>
        <v>5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</v>
      </c>
      <c r="T102" s="16">
        <v>1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22"/>
    </row>
    <row r="103" spans="1:29" ht="28.8" x14ac:dyDescent="0.3">
      <c r="A103" s="19"/>
      <c r="B103" s="30" t="s">
        <v>225</v>
      </c>
      <c r="C103" s="20" t="s">
        <v>226</v>
      </c>
      <c r="D103" s="19" t="s">
        <v>77</v>
      </c>
      <c r="E103" s="23" t="s">
        <v>20</v>
      </c>
      <c r="F103" s="23">
        <v>3</v>
      </c>
      <c r="G103" s="23">
        <f t="shared" si="4"/>
        <v>2</v>
      </c>
      <c r="H103" s="23"/>
      <c r="I103" s="23"/>
      <c r="J103" s="23"/>
      <c r="K103" s="23"/>
      <c r="L103" s="23"/>
      <c r="M103" s="23"/>
      <c r="N103" s="23"/>
      <c r="O103" s="23">
        <v>0</v>
      </c>
      <c r="P103" s="23">
        <v>0</v>
      </c>
      <c r="Q103" s="23">
        <v>0</v>
      </c>
      <c r="R103" s="23">
        <v>0</v>
      </c>
      <c r="S103" s="23">
        <v>2</v>
      </c>
      <c r="T103" s="23">
        <v>0</v>
      </c>
      <c r="U103" s="23">
        <v>0</v>
      </c>
      <c r="V103" s="23"/>
      <c r="W103" s="23"/>
      <c r="X103" s="23"/>
      <c r="Y103" s="23"/>
      <c r="Z103" s="23"/>
      <c r="AA103" s="23"/>
      <c r="AB103" s="23"/>
      <c r="AC103" s="22"/>
    </row>
    <row r="104" spans="1:29" ht="34.950000000000003" customHeight="1" x14ac:dyDescent="0.3">
      <c r="A104" s="33"/>
      <c r="B104" s="31" t="s">
        <v>227</v>
      </c>
      <c r="C104" s="34" t="s">
        <v>228</v>
      </c>
      <c r="D104" s="33" t="s">
        <v>56</v>
      </c>
      <c r="E104" s="21" t="s">
        <v>20</v>
      </c>
      <c r="F104" s="21">
        <v>5</v>
      </c>
      <c r="G104" s="21">
        <f t="shared" si="4"/>
        <v>3</v>
      </c>
      <c r="H104" s="21"/>
      <c r="I104" s="21"/>
      <c r="J104" s="21"/>
      <c r="K104" s="21"/>
      <c r="L104" s="21"/>
      <c r="M104" s="21"/>
      <c r="N104" s="21"/>
      <c r="O104" s="21">
        <v>0</v>
      </c>
      <c r="P104" s="21">
        <v>0</v>
      </c>
      <c r="Q104" s="21">
        <v>0</v>
      </c>
      <c r="R104" s="21">
        <v>1</v>
      </c>
      <c r="S104" s="21">
        <v>2</v>
      </c>
      <c r="T104" s="21">
        <v>0</v>
      </c>
      <c r="U104" s="21">
        <v>0</v>
      </c>
      <c r="V104" s="21"/>
      <c r="W104" s="21"/>
      <c r="X104" s="21"/>
      <c r="Y104" s="21"/>
      <c r="Z104" s="21"/>
      <c r="AA104" s="21"/>
      <c r="AB104" s="21"/>
      <c r="AC104" s="22"/>
    </row>
    <row r="105" spans="1:29" x14ac:dyDescent="0.3">
      <c r="A105" s="35" t="s">
        <v>184</v>
      </c>
      <c r="B105" s="37" t="s">
        <v>229</v>
      </c>
      <c r="C105" s="32" t="s">
        <v>230</v>
      </c>
      <c r="D105" s="33" t="s">
        <v>56</v>
      </c>
      <c r="E105" s="23" t="s">
        <v>20</v>
      </c>
      <c r="F105" s="16">
        <v>8</v>
      </c>
      <c r="G105" s="16">
        <f t="shared" si="4"/>
        <v>6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</v>
      </c>
      <c r="P105" s="16">
        <v>1</v>
      </c>
      <c r="Q105" s="16">
        <v>0</v>
      </c>
      <c r="R105" s="16">
        <v>0</v>
      </c>
      <c r="S105" s="16">
        <v>4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22"/>
    </row>
    <row r="106" spans="1:29" ht="28.8" x14ac:dyDescent="0.3">
      <c r="A106" s="19"/>
      <c r="B106" s="30" t="s">
        <v>231</v>
      </c>
      <c r="C106" s="20" t="s">
        <v>232</v>
      </c>
      <c r="D106" s="19" t="s">
        <v>68</v>
      </c>
      <c r="E106" s="21" t="s">
        <v>20</v>
      </c>
      <c r="F106" s="21">
        <v>4</v>
      </c>
      <c r="G106" s="21">
        <f t="shared" si="4"/>
        <v>3</v>
      </c>
      <c r="H106" s="21"/>
      <c r="I106" s="21"/>
      <c r="J106" s="21"/>
      <c r="K106" s="21"/>
      <c r="L106" s="21"/>
      <c r="M106" s="21"/>
      <c r="N106" s="21"/>
      <c r="O106" s="21">
        <v>1</v>
      </c>
      <c r="P106" s="21">
        <v>1</v>
      </c>
      <c r="Q106" s="21">
        <v>0</v>
      </c>
      <c r="R106" s="21">
        <v>0</v>
      </c>
      <c r="S106" s="21">
        <v>1</v>
      </c>
      <c r="T106" s="21">
        <v>0</v>
      </c>
      <c r="U106" s="21">
        <v>0</v>
      </c>
      <c r="V106" s="21"/>
      <c r="W106" s="21"/>
      <c r="X106" s="21"/>
      <c r="Y106" s="21"/>
      <c r="Z106" s="21"/>
      <c r="AA106" s="21"/>
      <c r="AB106" s="21"/>
      <c r="AC106" s="22"/>
    </row>
    <row r="107" spans="1:29" ht="28.8" x14ac:dyDescent="0.3">
      <c r="A107" s="33"/>
      <c r="B107" s="31" t="s">
        <v>233</v>
      </c>
      <c r="C107" s="34" t="s">
        <v>234</v>
      </c>
      <c r="D107" s="33" t="s">
        <v>23</v>
      </c>
      <c r="E107" s="23" t="s">
        <v>20</v>
      </c>
      <c r="F107" s="23">
        <v>2</v>
      </c>
      <c r="G107" s="23">
        <f t="shared" si="4"/>
        <v>2</v>
      </c>
      <c r="H107" s="23"/>
      <c r="I107" s="23"/>
      <c r="J107" s="23"/>
      <c r="K107" s="23"/>
      <c r="L107" s="23"/>
      <c r="M107" s="23"/>
      <c r="N107" s="23"/>
      <c r="O107" s="23">
        <v>0</v>
      </c>
      <c r="P107" s="23">
        <v>0</v>
      </c>
      <c r="Q107" s="23">
        <v>0</v>
      </c>
      <c r="R107" s="23">
        <v>0</v>
      </c>
      <c r="S107" s="23">
        <v>2</v>
      </c>
      <c r="T107" s="23">
        <v>0</v>
      </c>
      <c r="U107" s="23">
        <v>0</v>
      </c>
      <c r="V107" s="23"/>
      <c r="W107" s="23"/>
      <c r="X107" s="23"/>
      <c r="Y107" s="23"/>
      <c r="Z107" s="23"/>
      <c r="AA107" s="23"/>
      <c r="AB107" s="23"/>
      <c r="AC107" s="22"/>
    </row>
    <row r="108" spans="1:29" ht="28.8" x14ac:dyDescent="0.3">
      <c r="A108" s="19"/>
      <c r="B108" s="30" t="s">
        <v>235</v>
      </c>
      <c r="C108" s="20" t="s">
        <v>236</v>
      </c>
      <c r="D108" s="19" t="s">
        <v>68</v>
      </c>
      <c r="E108" s="21" t="s">
        <v>20</v>
      </c>
      <c r="F108" s="21">
        <v>2</v>
      </c>
      <c r="G108" s="21">
        <f t="shared" si="4"/>
        <v>1</v>
      </c>
      <c r="H108" s="21"/>
      <c r="I108" s="21"/>
      <c r="J108" s="21"/>
      <c r="K108" s="21"/>
      <c r="L108" s="21"/>
      <c r="M108" s="21"/>
      <c r="N108" s="21"/>
      <c r="O108" s="21">
        <v>0</v>
      </c>
      <c r="P108" s="21">
        <v>0</v>
      </c>
      <c r="Q108" s="21">
        <v>0</v>
      </c>
      <c r="R108" s="21">
        <v>0</v>
      </c>
      <c r="S108" s="21">
        <v>1</v>
      </c>
      <c r="T108" s="21">
        <v>0</v>
      </c>
      <c r="U108" s="21">
        <v>0</v>
      </c>
      <c r="V108" s="21"/>
      <c r="W108" s="21"/>
      <c r="X108" s="21"/>
      <c r="Y108" s="21"/>
      <c r="Z108" s="21"/>
      <c r="AA108" s="21"/>
      <c r="AB108" s="21"/>
      <c r="AC108" s="22"/>
    </row>
    <row r="109" spans="1:29" ht="21" customHeight="1" x14ac:dyDescent="0.3">
      <c r="A109" s="35" t="s">
        <v>184</v>
      </c>
      <c r="B109" s="37" t="s">
        <v>237</v>
      </c>
      <c r="C109" s="32" t="s">
        <v>238</v>
      </c>
      <c r="D109" s="33" t="s">
        <v>68</v>
      </c>
      <c r="E109" s="23" t="s">
        <v>20</v>
      </c>
      <c r="F109" s="16">
        <v>10</v>
      </c>
      <c r="G109" s="16">
        <f t="shared" si="4"/>
        <v>7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2</v>
      </c>
      <c r="U109" s="16">
        <v>5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22"/>
    </row>
    <row r="110" spans="1:29" ht="28.8" x14ac:dyDescent="0.3">
      <c r="A110" s="19"/>
      <c r="B110" s="30" t="s">
        <v>239</v>
      </c>
      <c r="C110" s="20" t="s">
        <v>240</v>
      </c>
      <c r="D110" s="19" t="s">
        <v>68</v>
      </c>
      <c r="E110" s="21" t="s">
        <v>20</v>
      </c>
      <c r="F110" s="21">
        <v>5</v>
      </c>
      <c r="G110" s="21">
        <f t="shared" si="4"/>
        <v>4</v>
      </c>
      <c r="H110" s="21"/>
      <c r="I110" s="21"/>
      <c r="J110" s="21"/>
      <c r="K110" s="21"/>
      <c r="L110" s="21"/>
      <c r="M110" s="21"/>
      <c r="N110" s="21"/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2</v>
      </c>
      <c r="U110" s="21">
        <v>2</v>
      </c>
      <c r="V110" s="21"/>
      <c r="W110" s="21"/>
      <c r="X110" s="21"/>
      <c r="Y110" s="21"/>
      <c r="Z110" s="21"/>
      <c r="AA110" s="21"/>
      <c r="AB110" s="21"/>
      <c r="AC110" s="22"/>
    </row>
    <row r="111" spans="1:29" ht="28.8" x14ac:dyDescent="0.3">
      <c r="A111" s="33"/>
      <c r="B111" s="31" t="s">
        <v>241</v>
      </c>
      <c r="C111" s="34" t="s">
        <v>242</v>
      </c>
      <c r="D111" s="33" t="s">
        <v>108</v>
      </c>
      <c r="E111" s="23" t="s">
        <v>20</v>
      </c>
      <c r="F111" s="23">
        <v>3</v>
      </c>
      <c r="G111" s="23">
        <f t="shared" si="4"/>
        <v>1</v>
      </c>
      <c r="H111" s="23"/>
      <c r="I111" s="23"/>
      <c r="J111" s="23"/>
      <c r="K111" s="23"/>
      <c r="L111" s="23"/>
      <c r="M111" s="23"/>
      <c r="N111" s="23"/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1</v>
      </c>
      <c r="V111" s="23"/>
      <c r="W111" s="23"/>
      <c r="X111" s="23"/>
      <c r="Y111" s="23"/>
      <c r="Z111" s="23"/>
      <c r="AA111" s="23"/>
      <c r="AB111" s="23"/>
      <c r="AC111" s="22"/>
    </row>
    <row r="112" spans="1:29" ht="28.8" x14ac:dyDescent="0.3">
      <c r="A112" s="19"/>
      <c r="B112" s="30" t="s">
        <v>243</v>
      </c>
      <c r="C112" s="20" t="s">
        <v>244</v>
      </c>
      <c r="D112" s="19" t="s">
        <v>108</v>
      </c>
      <c r="E112" s="21" t="s">
        <v>20</v>
      </c>
      <c r="F112" s="21">
        <v>2</v>
      </c>
      <c r="G112" s="21">
        <f t="shared" si="4"/>
        <v>2</v>
      </c>
      <c r="H112" s="21"/>
      <c r="I112" s="21"/>
      <c r="J112" s="21"/>
      <c r="K112" s="21"/>
      <c r="L112" s="21"/>
      <c r="M112" s="21"/>
      <c r="N112" s="21"/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2</v>
      </c>
      <c r="V112" s="21"/>
      <c r="W112" s="21"/>
      <c r="X112" s="21"/>
      <c r="Y112" s="21"/>
      <c r="Z112" s="21"/>
      <c r="AA112" s="21"/>
      <c r="AB112" s="21"/>
      <c r="AC112" s="22"/>
    </row>
    <row r="113" spans="1:29" x14ac:dyDescent="0.3">
      <c r="A113" s="47" t="s">
        <v>245</v>
      </c>
      <c r="B113" s="37" t="s">
        <v>246</v>
      </c>
      <c r="C113" s="17" t="s">
        <v>247</v>
      </c>
      <c r="D113" s="33" t="s">
        <v>23</v>
      </c>
      <c r="E113" s="23" t="s">
        <v>20</v>
      </c>
      <c r="F113" s="16">
        <v>9</v>
      </c>
      <c r="G113" s="16">
        <v>7</v>
      </c>
      <c r="H113" s="16">
        <v>1</v>
      </c>
      <c r="I113" s="16">
        <v>1</v>
      </c>
      <c r="J113" s="16">
        <v>2</v>
      </c>
      <c r="K113" s="16">
        <v>1</v>
      </c>
      <c r="L113" s="16">
        <v>2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22"/>
    </row>
    <row r="114" spans="1:29" ht="31.2" customHeight="1" x14ac:dyDescent="0.3">
      <c r="A114" s="19"/>
      <c r="B114" s="48" t="s">
        <v>248</v>
      </c>
      <c r="C114" s="20" t="s">
        <v>249</v>
      </c>
      <c r="D114" s="19" t="s">
        <v>68</v>
      </c>
      <c r="E114" s="21" t="s">
        <v>20</v>
      </c>
      <c r="F114" s="21">
        <v>3</v>
      </c>
      <c r="G114" s="21">
        <v>2</v>
      </c>
      <c r="H114" s="21">
        <v>1</v>
      </c>
      <c r="I114" s="21">
        <v>1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2"/>
    </row>
    <row r="115" spans="1:29" ht="28.8" x14ac:dyDescent="0.3">
      <c r="A115" s="33"/>
      <c r="B115" s="45" t="s">
        <v>250</v>
      </c>
      <c r="C115" s="34" t="s">
        <v>251</v>
      </c>
      <c r="D115" s="33" t="s">
        <v>68</v>
      </c>
      <c r="E115" s="23" t="s">
        <v>20</v>
      </c>
      <c r="F115" s="23">
        <v>4</v>
      </c>
      <c r="G115" s="23">
        <v>3</v>
      </c>
      <c r="H115" s="23">
        <v>0</v>
      </c>
      <c r="I115" s="23">
        <v>0</v>
      </c>
      <c r="J115" s="23">
        <v>2</v>
      </c>
      <c r="K115" s="23">
        <v>1</v>
      </c>
      <c r="L115" s="23">
        <v>0</v>
      </c>
      <c r="M115" s="23">
        <v>0</v>
      </c>
      <c r="N115" s="23">
        <v>0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2"/>
    </row>
    <row r="116" spans="1:29" x14ac:dyDescent="0.3">
      <c r="A116" s="19"/>
      <c r="B116" s="48" t="s">
        <v>252</v>
      </c>
      <c r="C116" s="20" t="s">
        <v>253</v>
      </c>
      <c r="D116" s="19" t="s">
        <v>42</v>
      </c>
      <c r="E116" s="21" t="s">
        <v>20</v>
      </c>
      <c r="F116" s="21">
        <v>2</v>
      </c>
      <c r="G116" s="21">
        <v>2</v>
      </c>
      <c r="H116" s="21">
        <v>0</v>
      </c>
      <c r="I116" s="21">
        <v>0</v>
      </c>
      <c r="J116" s="21">
        <v>0</v>
      </c>
      <c r="K116" s="21">
        <v>0</v>
      </c>
      <c r="L116" s="21">
        <v>2</v>
      </c>
      <c r="M116" s="21">
        <v>0</v>
      </c>
      <c r="N116" s="21">
        <v>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2"/>
    </row>
    <row r="117" spans="1:29" x14ac:dyDescent="0.3">
      <c r="A117" s="47" t="s">
        <v>245</v>
      </c>
      <c r="B117" s="37" t="s">
        <v>254</v>
      </c>
      <c r="C117" s="17" t="s">
        <v>255</v>
      </c>
      <c r="D117" s="33" t="s">
        <v>23</v>
      </c>
      <c r="E117" s="23" t="s">
        <v>20</v>
      </c>
      <c r="F117" s="16">
        <v>14</v>
      </c>
      <c r="G117" s="16">
        <v>11</v>
      </c>
      <c r="H117" s="16">
        <v>0</v>
      </c>
      <c r="I117" s="16">
        <v>2</v>
      </c>
      <c r="J117" s="16">
        <v>1</v>
      </c>
      <c r="K117" s="16">
        <v>2</v>
      </c>
      <c r="L117" s="16">
        <v>4</v>
      </c>
      <c r="M117" s="16">
        <v>2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22"/>
    </row>
    <row r="118" spans="1:29" x14ac:dyDescent="0.3">
      <c r="A118" s="19"/>
      <c r="B118" s="48" t="s">
        <v>256</v>
      </c>
      <c r="C118" s="20" t="s">
        <v>257</v>
      </c>
      <c r="D118" s="19" t="s">
        <v>77</v>
      </c>
      <c r="E118" s="21" t="s">
        <v>20</v>
      </c>
      <c r="F118" s="21">
        <v>8</v>
      </c>
      <c r="G118" s="21">
        <v>6</v>
      </c>
      <c r="H118" s="21">
        <v>0</v>
      </c>
      <c r="I118" s="21">
        <v>2</v>
      </c>
      <c r="J118" s="21">
        <v>1</v>
      </c>
      <c r="K118" s="21">
        <v>1</v>
      </c>
      <c r="L118" s="21">
        <v>2</v>
      </c>
      <c r="M118" s="21">
        <v>0</v>
      </c>
      <c r="N118" s="21">
        <v>0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2"/>
    </row>
    <row r="119" spans="1:29" ht="30.6" customHeight="1" x14ac:dyDescent="0.3">
      <c r="A119" s="33"/>
      <c r="B119" s="45" t="s">
        <v>258</v>
      </c>
      <c r="C119" s="34" t="s">
        <v>259</v>
      </c>
      <c r="D119" s="33" t="s">
        <v>77</v>
      </c>
      <c r="E119" s="23" t="s">
        <v>20</v>
      </c>
      <c r="F119" s="23">
        <v>4</v>
      </c>
      <c r="G119" s="23">
        <v>3</v>
      </c>
      <c r="H119" s="23">
        <v>0</v>
      </c>
      <c r="I119" s="23">
        <v>0</v>
      </c>
      <c r="J119" s="23">
        <v>0</v>
      </c>
      <c r="K119" s="23">
        <v>1</v>
      </c>
      <c r="L119" s="23">
        <v>2</v>
      </c>
      <c r="M119" s="23">
        <v>0</v>
      </c>
      <c r="N119" s="23">
        <v>0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2"/>
    </row>
    <row r="120" spans="1:29" x14ac:dyDescent="0.3">
      <c r="A120" s="19"/>
      <c r="B120" s="48" t="s">
        <v>260</v>
      </c>
      <c r="C120" s="20" t="s">
        <v>261</v>
      </c>
      <c r="D120" s="19" t="s">
        <v>42</v>
      </c>
      <c r="E120" s="21" t="s">
        <v>20</v>
      </c>
      <c r="F120" s="21">
        <v>2</v>
      </c>
      <c r="G120" s="21">
        <v>2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2</v>
      </c>
      <c r="N120" s="21">
        <v>0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2"/>
    </row>
    <row r="121" spans="1:29" x14ac:dyDescent="0.3">
      <c r="A121" s="47" t="s">
        <v>245</v>
      </c>
      <c r="B121" s="37" t="s">
        <v>262</v>
      </c>
      <c r="C121" s="17" t="s">
        <v>263</v>
      </c>
      <c r="D121" s="33" t="s">
        <v>23</v>
      </c>
      <c r="E121" s="23" t="s">
        <v>20</v>
      </c>
      <c r="F121" s="16">
        <v>9</v>
      </c>
      <c r="G121" s="16">
        <v>8</v>
      </c>
      <c r="H121" s="16">
        <v>1</v>
      </c>
      <c r="I121" s="16">
        <v>2</v>
      </c>
      <c r="J121" s="16">
        <v>3</v>
      </c>
      <c r="K121" s="16">
        <v>1</v>
      </c>
      <c r="L121" s="16">
        <v>2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22"/>
    </row>
    <row r="122" spans="1:29" x14ac:dyDescent="0.3">
      <c r="A122" s="19"/>
      <c r="B122" s="48" t="s">
        <v>264</v>
      </c>
      <c r="C122" s="20" t="s">
        <v>265</v>
      </c>
      <c r="D122" s="19" t="s">
        <v>77</v>
      </c>
      <c r="E122" s="21" t="s">
        <v>20</v>
      </c>
      <c r="F122" s="21">
        <v>3</v>
      </c>
      <c r="G122" s="21">
        <v>3</v>
      </c>
      <c r="H122" s="21">
        <v>1</v>
      </c>
      <c r="I122" s="21">
        <v>2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2"/>
    </row>
    <row r="123" spans="1:29" ht="28.8" x14ac:dyDescent="0.3">
      <c r="A123" s="33"/>
      <c r="B123" s="45" t="s">
        <v>266</v>
      </c>
      <c r="C123" s="34" t="s">
        <v>267</v>
      </c>
      <c r="D123" s="33" t="s">
        <v>68</v>
      </c>
      <c r="E123" s="23" t="s">
        <v>20</v>
      </c>
      <c r="F123" s="23">
        <v>3</v>
      </c>
      <c r="G123" s="23">
        <v>3</v>
      </c>
      <c r="H123" s="23">
        <v>0</v>
      </c>
      <c r="I123" s="23">
        <v>0</v>
      </c>
      <c r="J123" s="23">
        <v>3</v>
      </c>
      <c r="K123" s="23">
        <v>0</v>
      </c>
      <c r="L123" s="23">
        <v>0</v>
      </c>
      <c r="M123" s="23">
        <v>0</v>
      </c>
      <c r="N123" s="23">
        <v>0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2"/>
    </row>
    <row r="124" spans="1:29" ht="31.2" customHeight="1" x14ac:dyDescent="0.3">
      <c r="A124" s="19"/>
      <c r="B124" s="48" t="s">
        <v>268</v>
      </c>
      <c r="C124" s="20" t="s">
        <v>269</v>
      </c>
      <c r="D124" s="19" t="s">
        <v>42</v>
      </c>
      <c r="E124" s="21" t="s">
        <v>20</v>
      </c>
      <c r="F124" s="21">
        <v>3</v>
      </c>
      <c r="G124" s="21">
        <v>2</v>
      </c>
      <c r="H124" s="21">
        <v>0</v>
      </c>
      <c r="I124" s="21">
        <v>0</v>
      </c>
      <c r="J124" s="21">
        <v>0</v>
      </c>
      <c r="K124" s="21">
        <v>1</v>
      </c>
      <c r="L124" s="21">
        <v>2</v>
      </c>
      <c r="M124" s="21">
        <v>0</v>
      </c>
      <c r="N124" s="21">
        <v>0</v>
      </c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2"/>
    </row>
    <row r="129" ht="21" customHeight="1" x14ac:dyDescent="0.3"/>
    <row r="134" ht="21" customHeight="1" x14ac:dyDescent="0.3"/>
    <row r="139" ht="21" customHeight="1" x14ac:dyDescent="0.3"/>
    <row r="144" ht="21" customHeight="1" x14ac:dyDescent="0.3"/>
    <row r="149" ht="21" customHeight="1" x14ac:dyDescent="0.3"/>
    <row r="154" ht="21" customHeight="1" x14ac:dyDescent="0.3"/>
    <row r="159" ht="21" customHeight="1" x14ac:dyDescent="0.3"/>
    <row r="164" ht="21" customHeight="1" x14ac:dyDescent="0.3"/>
    <row r="169" ht="21" customHeight="1" x14ac:dyDescent="0.3"/>
    <row r="179" ht="21" customHeight="1" x14ac:dyDescent="0.3"/>
    <row r="184" ht="21" customHeight="1" x14ac:dyDescent="0.3"/>
    <row r="189" ht="21" customHeight="1" x14ac:dyDescent="0.3"/>
    <row r="194" ht="21" customHeight="1" x14ac:dyDescent="0.3"/>
    <row r="199" ht="21" customHeight="1" x14ac:dyDescent="0.3"/>
    <row r="204" ht="21" customHeight="1" x14ac:dyDescent="0.3"/>
    <row r="209" ht="21" customHeight="1" x14ac:dyDescent="0.3"/>
    <row r="214" ht="21" customHeight="1" x14ac:dyDescent="0.3"/>
    <row r="219" ht="21" customHeight="1" x14ac:dyDescent="0.3"/>
    <row r="224" ht="21" customHeight="1" x14ac:dyDescent="0.3"/>
    <row r="229" ht="21" customHeight="1" x14ac:dyDescent="0.3"/>
    <row r="234" ht="21" customHeight="1" x14ac:dyDescent="0.3"/>
    <row r="239" ht="21" customHeight="1" x14ac:dyDescent="0.3"/>
    <row r="244" ht="21" customHeight="1" x14ac:dyDescent="0.3"/>
    <row r="249" ht="21" customHeight="1" x14ac:dyDescent="0.3"/>
    <row r="254" ht="21" customHeight="1" x14ac:dyDescent="0.3"/>
    <row r="259" ht="21" customHeight="1" x14ac:dyDescent="0.3"/>
    <row r="264" ht="21" customHeight="1" x14ac:dyDescent="0.3"/>
    <row r="269" ht="21" customHeight="1" x14ac:dyDescent="0.3"/>
    <row r="274" ht="21" customHeight="1" x14ac:dyDescent="0.3"/>
    <row r="279" ht="21" customHeight="1" x14ac:dyDescent="0.3"/>
    <row r="284" ht="21" customHeight="1" x14ac:dyDescent="0.3"/>
    <row r="289" ht="21" customHeight="1" x14ac:dyDescent="0.3"/>
    <row r="294" ht="21" customHeight="1" x14ac:dyDescent="0.3"/>
    <row r="299" ht="21" customHeight="1" x14ac:dyDescent="0.3"/>
    <row r="304" ht="21" customHeight="1" x14ac:dyDescent="0.3"/>
    <row r="309" ht="21" customHeight="1" x14ac:dyDescent="0.3"/>
    <row r="314" ht="21" customHeight="1" x14ac:dyDescent="0.3"/>
    <row r="319" ht="21" customHeight="1" x14ac:dyDescent="0.3"/>
    <row r="324" ht="21" customHeight="1" x14ac:dyDescent="0.3"/>
    <row r="329" ht="21" customHeight="1" x14ac:dyDescent="0.3"/>
    <row r="339" ht="21" customHeight="1" x14ac:dyDescent="0.3"/>
    <row r="344" ht="21" customHeight="1" x14ac:dyDescent="0.3"/>
    <row r="349" ht="21" customHeight="1" x14ac:dyDescent="0.3"/>
    <row r="354" ht="21" customHeight="1" x14ac:dyDescent="0.3"/>
    <row r="359" ht="21" customHeight="1" x14ac:dyDescent="0.3"/>
    <row r="364" ht="21" customHeight="1" x14ac:dyDescent="0.3"/>
    <row r="369" ht="21" customHeight="1" x14ac:dyDescent="0.3"/>
    <row r="374" ht="21" customHeight="1" x14ac:dyDescent="0.3"/>
    <row r="379" ht="21" customHeight="1" x14ac:dyDescent="0.3"/>
    <row r="384" ht="21" customHeight="1" x14ac:dyDescent="0.3"/>
    <row r="389" ht="21" customHeight="1" x14ac:dyDescent="0.3"/>
    <row r="394" ht="21" customHeight="1" x14ac:dyDescent="0.3"/>
    <row r="399" ht="21" customHeight="1" x14ac:dyDescent="0.3"/>
    <row r="404" ht="21" customHeight="1" x14ac:dyDescent="0.3"/>
    <row r="409" ht="21" customHeight="1" x14ac:dyDescent="0.3"/>
    <row r="414" ht="21" customHeight="1" x14ac:dyDescent="0.3"/>
    <row r="419" ht="21" customHeight="1" x14ac:dyDescent="0.3"/>
    <row r="424" ht="21" customHeight="1" x14ac:dyDescent="0.3"/>
    <row r="429" ht="21" customHeight="1" x14ac:dyDescent="0.3"/>
    <row r="434" ht="21" customHeight="1" x14ac:dyDescent="0.3"/>
    <row r="439" ht="21" customHeight="1" x14ac:dyDescent="0.3"/>
    <row r="444" ht="21" customHeight="1" x14ac:dyDescent="0.3"/>
    <row r="449" ht="21" customHeight="1" x14ac:dyDescent="0.3"/>
    <row r="454" ht="21" customHeight="1" x14ac:dyDescent="0.3"/>
    <row r="459" ht="21" customHeight="1" x14ac:dyDescent="0.3"/>
    <row r="464" ht="21" customHeight="1" x14ac:dyDescent="0.3"/>
    <row r="469" ht="21" customHeight="1" x14ac:dyDescent="0.3"/>
    <row r="474" ht="21" customHeight="1" x14ac:dyDescent="0.3"/>
    <row r="479" ht="21" customHeight="1" x14ac:dyDescent="0.3"/>
    <row r="484" ht="21" customHeight="1" x14ac:dyDescent="0.3"/>
    <row r="489" ht="21" customHeight="1" x14ac:dyDescent="0.3"/>
    <row r="499" ht="21" customHeight="1" x14ac:dyDescent="0.3"/>
    <row r="504" ht="21" customHeight="1" x14ac:dyDescent="0.3"/>
    <row r="509" ht="21" customHeight="1" x14ac:dyDescent="0.3"/>
    <row r="514" ht="21" customHeight="1" x14ac:dyDescent="0.3"/>
    <row r="519" ht="21" customHeight="1" x14ac:dyDescent="0.3"/>
    <row r="524" ht="21" customHeight="1" x14ac:dyDescent="0.3"/>
    <row r="529" ht="21" customHeight="1" x14ac:dyDescent="0.3"/>
    <row r="534" ht="21" customHeight="1" x14ac:dyDescent="0.3"/>
    <row r="539" ht="21" customHeight="1" x14ac:dyDescent="0.3"/>
    <row r="544" ht="21" customHeight="1" x14ac:dyDescent="0.3"/>
    <row r="549" ht="21" customHeight="1" x14ac:dyDescent="0.3"/>
    <row r="554" ht="21" customHeight="1" x14ac:dyDescent="0.3"/>
    <row r="559" ht="21" customHeight="1" x14ac:dyDescent="0.3"/>
    <row r="564" ht="21" customHeight="1" x14ac:dyDescent="0.3"/>
    <row r="569" ht="21" customHeight="1" x14ac:dyDescent="0.3"/>
    <row r="574" ht="21" customHeight="1" x14ac:dyDescent="0.3"/>
    <row r="579" ht="21" customHeight="1" x14ac:dyDescent="0.3"/>
    <row r="584" ht="21" customHeight="1" x14ac:dyDescent="0.3"/>
    <row r="589" ht="21" customHeight="1" x14ac:dyDescent="0.3"/>
    <row r="594" ht="21" customHeight="1" x14ac:dyDescent="0.3"/>
    <row r="599" ht="21" customHeight="1" x14ac:dyDescent="0.3"/>
    <row r="604" ht="21" customHeight="1" x14ac:dyDescent="0.3"/>
    <row r="609" ht="21" customHeight="1" x14ac:dyDescent="0.3"/>
    <row r="614" ht="21" customHeight="1" x14ac:dyDescent="0.3"/>
    <row r="619" ht="21" customHeight="1" x14ac:dyDescent="0.3"/>
    <row r="624" ht="21" customHeight="1" x14ac:dyDescent="0.3"/>
    <row r="629" ht="21" customHeight="1" x14ac:dyDescent="0.3"/>
    <row r="634" ht="21" customHeight="1" x14ac:dyDescent="0.3"/>
    <row r="639" ht="21" customHeight="1" x14ac:dyDescent="0.3"/>
    <row r="644" ht="21" customHeight="1" x14ac:dyDescent="0.3"/>
    <row r="649" ht="21" customHeight="1" x14ac:dyDescent="0.3"/>
  </sheetData>
  <autoFilter ref="A3:AC3" xr:uid="{0166660F-8BE0-4D22-A61C-B639842FA2FB}"/>
  <mergeCells count="14">
    <mergeCell ref="F2:F3"/>
    <mergeCell ref="H1:N1"/>
    <mergeCell ref="O1:U1"/>
    <mergeCell ref="AC1:AC2"/>
    <mergeCell ref="A1:G1"/>
    <mergeCell ref="G2:G3"/>
    <mergeCell ref="V1:AB1"/>
    <mergeCell ref="A4:E4"/>
    <mergeCell ref="A6:E6"/>
    <mergeCell ref="A2:A3"/>
    <mergeCell ref="B2:B3"/>
    <mergeCell ref="C2:C3"/>
    <mergeCell ref="D2:D3"/>
    <mergeCell ref="E2:E3"/>
  </mergeCells>
  <conditionalFormatting sqref="E2:E3">
    <cfRule type="containsText" dxfId="5" priority="4" operator="containsText" text="TO DO">
      <formula>NOT(ISERROR(SEARCH("TO DO",E2)))</formula>
    </cfRule>
    <cfRule type="containsText" dxfId="4" priority="5" operator="containsText" text="DOING">
      <formula>NOT(ISERROR(SEARCH("DOING",E2)))</formula>
    </cfRule>
    <cfRule type="containsText" dxfId="3" priority="6" operator="containsText" text="DONE">
      <formula>NOT(ISERROR(SEARCH("DONE",E2)))</formula>
    </cfRule>
  </conditionalFormatting>
  <conditionalFormatting sqref="E7:E1048576">
    <cfRule type="containsText" dxfId="2" priority="1" operator="containsText" text="TO DO">
      <formula>NOT(ISERROR(SEARCH("TO DO",E7)))</formula>
    </cfRule>
    <cfRule type="containsText" dxfId="1" priority="2" operator="containsText" text="DOING">
      <formula>NOT(ISERROR(SEARCH("DOING",E7)))</formula>
    </cfRule>
    <cfRule type="containsText" dxfId="0" priority="3" operator="containsText" text="DONE">
      <formula>NOT(ISERROR(SEARCH("DONE",E7)))</formula>
    </cfRule>
  </conditionalFormatting>
  <dataValidations count="1">
    <dataValidation type="list" allowBlank="1" sqref="E7:E124" xr:uid="{C68EF515-89AF-487E-836E-FB851A09F05C}">
      <formula1>"TO DO,DOING,DONE"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D8A1-1C92-4166-8FEB-B1F142A78AD2}">
  <dimension ref="B1:Q119"/>
  <sheetViews>
    <sheetView tabSelected="1" topLeftCell="I1" workbookViewId="0">
      <selection activeCell="Q3" sqref="Q3"/>
    </sheetView>
  </sheetViews>
  <sheetFormatPr baseColWidth="10" defaultRowHeight="14.4" x14ac:dyDescent="0.3"/>
  <cols>
    <col min="2" max="2" width="11.88671875" bestFit="1" customWidth="1"/>
    <col min="3" max="3" width="16.109375" bestFit="1" customWidth="1"/>
    <col min="6" max="7" width="17.109375" bestFit="1" customWidth="1"/>
    <col min="8" max="8" width="24" bestFit="1" customWidth="1"/>
    <col min="9" max="9" width="24.109375" bestFit="1" customWidth="1"/>
    <col min="11" max="11" width="17.88671875" customWidth="1"/>
    <col min="12" max="12" width="23.77734375" bestFit="1" customWidth="1"/>
    <col min="13" max="13" width="24" bestFit="1" customWidth="1"/>
    <col min="14" max="14" width="24" customWidth="1"/>
    <col min="15" max="15" width="26.5546875" bestFit="1" customWidth="1"/>
    <col min="16" max="16" width="36.33203125" bestFit="1" customWidth="1"/>
    <col min="17" max="17" width="22" customWidth="1"/>
  </cols>
  <sheetData>
    <row r="1" spans="2:17" x14ac:dyDescent="0.3">
      <c r="B1" t="s">
        <v>8</v>
      </c>
      <c r="C1" t="s">
        <v>10</v>
      </c>
      <c r="D1" t="s">
        <v>11</v>
      </c>
    </row>
    <row r="2" spans="2:17" x14ac:dyDescent="0.3">
      <c r="B2" t="s">
        <v>19</v>
      </c>
    </row>
    <row r="3" spans="2:17" ht="43.2" x14ac:dyDescent="0.3">
      <c r="B3" t="s">
        <v>23</v>
      </c>
      <c r="C3">
        <v>1</v>
      </c>
      <c r="D3">
        <v>1</v>
      </c>
      <c r="G3" s="49" t="s">
        <v>276</v>
      </c>
      <c r="H3" t="s">
        <v>279</v>
      </c>
      <c r="I3" t="s">
        <v>280</v>
      </c>
      <c r="K3" s="21" t="s">
        <v>281</v>
      </c>
      <c r="L3" s="21" t="s">
        <v>279</v>
      </c>
      <c r="M3" s="21" t="s">
        <v>280</v>
      </c>
      <c r="N3" s="21" t="s">
        <v>287</v>
      </c>
      <c r="O3" s="51" t="s">
        <v>282</v>
      </c>
      <c r="P3" s="21" t="s">
        <v>283</v>
      </c>
      <c r="Q3" s="52" t="s">
        <v>284</v>
      </c>
    </row>
    <row r="4" spans="2:17" x14ac:dyDescent="0.3">
      <c r="B4" t="s">
        <v>19</v>
      </c>
      <c r="C4">
        <v>1</v>
      </c>
      <c r="D4">
        <v>1</v>
      </c>
      <c r="G4" s="50" t="s">
        <v>42</v>
      </c>
      <c r="H4">
        <v>10</v>
      </c>
      <c r="I4">
        <v>10</v>
      </c>
      <c r="K4" s="53" t="s">
        <v>42</v>
      </c>
      <c r="L4" s="53">
        <v>10</v>
      </c>
      <c r="M4" s="53">
        <v>10</v>
      </c>
      <c r="N4" s="54">
        <f>IFERROR(M4/$L14,"")</f>
        <v>0.74380165289256195</v>
      </c>
      <c r="O4" s="55">
        <f t="shared" ref="O4:O12" si="0">IFERROR(IF($L$15*N4&gt;5,5,$L$15*N4),"")</f>
        <v>3.7190082644628095</v>
      </c>
      <c r="P4" s="54">
        <f>M4/L4</f>
        <v>1</v>
      </c>
      <c r="Q4" s="56">
        <f t="shared" ref="Q4:Q12" si="1">IFERROR(IF($L$15*P4&gt;5,5,$L$15*P4),"")</f>
        <v>5</v>
      </c>
    </row>
    <row r="5" spans="2:17" x14ac:dyDescent="0.3">
      <c r="B5" t="s">
        <v>23</v>
      </c>
      <c r="C5">
        <v>1</v>
      </c>
      <c r="D5">
        <v>1</v>
      </c>
      <c r="G5" s="50" t="s">
        <v>63</v>
      </c>
      <c r="H5">
        <v>15</v>
      </c>
      <c r="I5">
        <v>15</v>
      </c>
      <c r="K5" s="53" t="s">
        <v>63</v>
      </c>
      <c r="L5" s="53">
        <v>15</v>
      </c>
      <c r="M5" s="53">
        <v>15</v>
      </c>
      <c r="N5" s="54">
        <f>IFERROR(M5/$L14,"")</f>
        <v>1.115702479338843</v>
      </c>
      <c r="O5" s="55">
        <f t="shared" si="0"/>
        <v>5</v>
      </c>
      <c r="P5" s="54">
        <f t="shared" ref="P5:P12" si="2">M5/L5</f>
        <v>1</v>
      </c>
      <c r="Q5" s="56">
        <f t="shared" si="1"/>
        <v>5</v>
      </c>
    </row>
    <row r="6" spans="2:17" x14ac:dyDescent="0.3">
      <c r="B6" t="s">
        <v>19</v>
      </c>
      <c r="G6" s="50" t="s">
        <v>23</v>
      </c>
      <c r="H6">
        <v>15</v>
      </c>
      <c r="I6">
        <v>15</v>
      </c>
      <c r="K6" s="53" t="s">
        <v>23</v>
      </c>
      <c r="L6" s="53">
        <v>15</v>
      </c>
      <c r="M6" s="53">
        <v>15</v>
      </c>
      <c r="N6" s="54">
        <f>IFERROR(M6/$L14,"")</f>
        <v>1.115702479338843</v>
      </c>
      <c r="O6" s="55">
        <f t="shared" si="0"/>
        <v>5</v>
      </c>
      <c r="P6" s="54">
        <f t="shared" si="2"/>
        <v>1</v>
      </c>
      <c r="Q6" s="56">
        <f t="shared" si="1"/>
        <v>5</v>
      </c>
    </row>
    <row r="7" spans="2:17" x14ac:dyDescent="0.3">
      <c r="B7" t="s">
        <v>19</v>
      </c>
      <c r="C7">
        <v>2</v>
      </c>
      <c r="D7">
        <v>2</v>
      </c>
      <c r="G7" s="50" t="s">
        <v>68</v>
      </c>
      <c r="H7">
        <v>13</v>
      </c>
      <c r="I7">
        <v>13</v>
      </c>
      <c r="K7" s="53" t="s">
        <v>68</v>
      </c>
      <c r="L7" s="53">
        <v>13</v>
      </c>
      <c r="M7" s="53">
        <v>13</v>
      </c>
      <c r="N7" s="54">
        <f>IFERROR(M7/$L14,"")</f>
        <v>0.96694214876033058</v>
      </c>
      <c r="O7" s="55">
        <f t="shared" si="0"/>
        <v>4.8347107438016526</v>
      </c>
      <c r="P7" s="54">
        <f t="shared" si="2"/>
        <v>1</v>
      </c>
      <c r="Q7" s="56">
        <f t="shared" si="1"/>
        <v>5</v>
      </c>
    </row>
    <row r="8" spans="2:17" x14ac:dyDescent="0.3">
      <c r="B8" t="s">
        <v>23</v>
      </c>
      <c r="C8">
        <v>2</v>
      </c>
      <c r="D8">
        <v>1.9999999999999998</v>
      </c>
      <c r="G8" s="50" t="s">
        <v>85</v>
      </c>
      <c r="H8">
        <v>16</v>
      </c>
      <c r="I8">
        <v>16</v>
      </c>
      <c r="K8" s="53" t="s">
        <v>85</v>
      </c>
      <c r="L8" s="53">
        <v>16</v>
      </c>
      <c r="M8" s="53">
        <v>16</v>
      </c>
      <c r="N8" s="54">
        <f>IFERROR(M8/$L14,"")</f>
        <v>1.1900826446280992</v>
      </c>
      <c r="O8" s="55">
        <f t="shared" si="0"/>
        <v>5</v>
      </c>
      <c r="P8" s="54">
        <f t="shared" si="2"/>
        <v>1</v>
      </c>
      <c r="Q8" s="56">
        <f t="shared" si="1"/>
        <v>5</v>
      </c>
    </row>
    <row r="9" spans="2:17" x14ac:dyDescent="0.3">
      <c r="B9" t="s">
        <v>19</v>
      </c>
      <c r="C9">
        <v>1</v>
      </c>
      <c r="D9">
        <v>1</v>
      </c>
      <c r="G9" s="50" t="s">
        <v>56</v>
      </c>
      <c r="H9">
        <v>15</v>
      </c>
      <c r="I9">
        <v>15</v>
      </c>
      <c r="K9" s="53" t="s">
        <v>56</v>
      </c>
      <c r="L9" s="53">
        <v>15</v>
      </c>
      <c r="M9" s="53">
        <v>15</v>
      </c>
      <c r="N9" s="54">
        <f>IFERROR(M9/$L14,"")</f>
        <v>1.115702479338843</v>
      </c>
      <c r="O9" s="55">
        <f t="shared" si="0"/>
        <v>5</v>
      </c>
      <c r="P9" s="54">
        <f t="shared" si="2"/>
        <v>1</v>
      </c>
      <c r="Q9" s="56">
        <f t="shared" si="1"/>
        <v>5</v>
      </c>
    </row>
    <row r="10" spans="2:17" x14ac:dyDescent="0.3">
      <c r="B10" t="s">
        <v>19</v>
      </c>
      <c r="G10" s="50" t="s">
        <v>19</v>
      </c>
      <c r="H10">
        <v>15</v>
      </c>
      <c r="I10">
        <v>15</v>
      </c>
      <c r="K10" s="53" t="s">
        <v>19</v>
      </c>
      <c r="L10" s="53">
        <v>15</v>
      </c>
      <c r="M10" s="53">
        <v>15</v>
      </c>
      <c r="N10" s="54">
        <f>IFERROR(M10/$L14,"")</f>
        <v>1.115702479338843</v>
      </c>
      <c r="O10" s="55">
        <f t="shared" si="0"/>
        <v>5</v>
      </c>
      <c r="P10" s="54">
        <f t="shared" si="2"/>
        <v>1</v>
      </c>
      <c r="Q10" s="56">
        <f t="shared" si="1"/>
        <v>5</v>
      </c>
    </row>
    <row r="11" spans="2:17" x14ac:dyDescent="0.3">
      <c r="B11" t="s">
        <v>19</v>
      </c>
      <c r="C11">
        <v>2</v>
      </c>
      <c r="D11">
        <v>2</v>
      </c>
      <c r="G11" s="50" t="s">
        <v>108</v>
      </c>
      <c r="H11">
        <v>10</v>
      </c>
      <c r="I11">
        <v>10</v>
      </c>
      <c r="K11" s="53" t="s">
        <v>108</v>
      </c>
      <c r="L11" s="53">
        <v>10</v>
      </c>
      <c r="M11" s="53">
        <v>10</v>
      </c>
      <c r="N11" s="54">
        <f>IFERROR(M11/$L14,"")</f>
        <v>0.74380165289256195</v>
      </c>
      <c r="O11" s="55">
        <f t="shared" si="0"/>
        <v>3.7190082644628095</v>
      </c>
      <c r="P11" s="54">
        <f t="shared" si="2"/>
        <v>1</v>
      </c>
      <c r="Q11" s="56">
        <f t="shared" si="1"/>
        <v>5</v>
      </c>
    </row>
    <row r="12" spans="2:17" x14ac:dyDescent="0.3">
      <c r="B12" t="s">
        <v>63</v>
      </c>
      <c r="C12">
        <v>2</v>
      </c>
      <c r="D12">
        <v>2</v>
      </c>
      <c r="G12" s="50" t="s">
        <v>77</v>
      </c>
      <c r="H12">
        <v>12</v>
      </c>
      <c r="I12">
        <v>12</v>
      </c>
      <c r="K12" s="53" t="s">
        <v>77</v>
      </c>
      <c r="L12" s="53">
        <v>12</v>
      </c>
      <c r="M12" s="53">
        <v>12</v>
      </c>
      <c r="N12" s="54">
        <f>IFERROR(M12/$L14,"")</f>
        <v>0.8925619834710744</v>
      </c>
      <c r="O12" s="55">
        <f t="shared" si="0"/>
        <v>4.4628099173553721</v>
      </c>
      <c r="P12" s="54">
        <f t="shared" si="2"/>
        <v>1</v>
      </c>
      <c r="Q12" s="56">
        <f t="shared" si="1"/>
        <v>5</v>
      </c>
    </row>
    <row r="13" spans="2:17" x14ac:dyDescent="0.3">
      <c r="B13" t="s">
        <v>42</v>
      </c>
      <c r="C13">
        <v>1</v>
      </c>
      <c r="D13">
        <v>1</v>
      </c>
      <c r="G13" s="50" t="s">
        <v>277</v>
      </c>
      <c r="K13" s="53" t="s">
        <v>277</v>
      </c>
      <c r="L13" s="53"/>
      <c r="M13" s="53"/>
      <c r="N13" s="53" t="str">
        <f>IFERROR(M13/#REF!,"")</f>
        <v/>
      </c>
      <c r="O13" s="53"/>
      <c r="P13" s="53"/>
      <c r="Q13" s="53"/>
    </row>
    <row r="14" spans="2:17" x14ac:dyDescent="0.3">
      <c r="B14" t="s">
        <v>19</v>
      </c>
      <c r="G14" s="50" t="s">
        <v>278</v>
      </c>
      <c r="H14">
        <v>121</v>
      </c>
      <c r="I14">
        <v>121</v>
      </c>
      <c r="K14" s="53" t="s">
        <v>286</v>
      </c>
      <c r="L14" s="53">
        <f>IFERROR(AVERAGE(L4:L12),"")</f>
        <v>13.444444444444445</v>
      </c>
      <c r="M14" s="53"/>
      <c r="N14" s="53"/>
      <c r="O14" s="53"/>
      <c r="P14" s="53"/>
      <c r="Q14" s="53"/>
    </row>
    <row r="15" spans="2:17" x14ac:dyDescent="0.3">
      <c r="B15" t="s">
        <v>19</v>
      </c>
      <c r="C15">
        <v>2</v>
      </c>
      <c r="D15">
        <v>2</v>
      </c>
      <c r="K15" s="53" t="s">
        <v>285</v>
      </c>
      <c r="L15" s="57">
        <v>5</v>
      </c>
      <c r="M15" s="53"/>
      <c r="N15" s="53"/>
      <c r="O15" s="53"/>
      <c r="P15" s="53"/>
      <c r="Q15" s="53"/>
    </row>
    <row r="16" spans="2:17" x14ac:dyDescent="0.3">
      <c r="B16" t="s">
        <v>23</v>
      </c>
      <c r="C16">
        <v>2</v>
      </c>
      <c r="D16">
        <v>1.9999999999999998</v>
      </c>
    </row>
    <row r="17" spans="2:4" x14ac:dyDescent="0.3">
      <c r="B17" t="s">
        <v>23</v>
      </c>
      <c r="C17">
        <v>1</v>
      </c>
      <c r="D17">
        <v>1</v>
      </c>
    </row>
    <row r="18" spans="2:4" x14ac:dyDescent="0.3">
      <c r="B18" t="s">
        <v>56</v>
      </c>
    </row>
    <row r="19" spans="2:4" x14ac:dyDescent="0.3">
      <c r="B19" t="s">
        <v>56</v>
      </c>
      <c r="C19">
        <v>1</v>
      </c>
      <c r="D19">
        <v>1</v>
      </c>
    </row>
    <row r="20" spans="2:4" x14ac:dyDescent="0.3">
      <c r="B20" t="s">
        <v>56</v>
      </c>
      <c r="C20">
        <v>1</v>
      </c>
      <c r="D20">
        <v>1</v>
      </c>
    </row>
    <row r="21" spans="2:4" x14ac:dyDescent="0.3">
      <c r="B21" t="s">
        <v>63</v>
      </c>
      <c r="C21">
        <v>1</v>
      </c>
      <c r="D21">
        <v>1</v>
      </c>
    </row>
    <row r="22" spans="2:4" x14ac:dyDescent="0.3">
      <c r="B22" t="s">
        <v>56</v>
      </c>
    </row>
    <row r="23" spans="2:4" x14ac:dyDescent="0.3">
      <c r="B23" t="s">
        <v>68</v>
      </c>
      <c r="C23">
        <v>1</v>
      </c>
      <c r="D23">
        <v>1</v>
      </c>
    </row>
    <row r="24" spans="2:4" x14ac:dyDescent="0.3">
      <c r="B24" t="s">
        <v>56</v>
      </c>
      <c r="C24">
        <v>1</v>
      </c>
      <c r="D24">
        <v>1</v>
      </c>
    </row>
    <row r="25" spans="2:4" x14ac:dyDescent="0.3">
      <c r="B25" t="s">
        <v>56</v>
      </c>
      <c r="C25">
        <v>1</v>
      </c>
      <c r="D25">
        <v>1</v>
      </c>
    </row>
    <row r="26" spans="2:4" x14ac:dyDescent="0.3">
      <c r="B26" t="s">
        <v>56</v>
      </c>
    </row>
    <row r="27" spans="2:4" x14ac:dyDescent="0.3">
      <c r="B27" t="s">
        <v>85</v>
      </c>
      <c r="C27">
        <v>2</v>
      </c>
      <c r="D27">
        <v>1.9999999999999998</v>
      </c>
    </row>
    <row r="28" spans="2:4" x14ac:dyDescent="0.3">
      <c r="B28" t="s">
        <v>85</v>
      </c>
      <c r="C28">
        <v>2</v>
      </c>
      <c r="D28">
        <v>2</v>
      </c>
    </row>
    <row r="29" spans="2:4" x14ac:dyDescent="0.3">
      <c r="B29" t="s">
        <v>77</v>
      </c>
      <c r="C29">
        <v>1</v>
      </c>
      <c r="D29">
        <v>1</v>
      </c>
    </row>
    <row r="30" spans="2:4" x14ac:dyDescent="0.3">
      <c r="B30" t="s">
        <v>85</v>
      </c>
    </row>
    <row r="31" spans="2:4" x14ac:dyDescent="0.3">
      <c r="B31" t="s">
        <v>56</v>
      </c>
      <c r="C31">
        <v>2</v>
      </c>
      <c r="D31">
        <v>2</v>
      </c>
    </row>
    <row r="32" spans="2:4" x14ac:dyDescent="0.3">
      <c r="B32" t="s">
        <v>56</v>
      </c>
      <c r="C32">
        <v>2</v>
      </c>
      <c r="D32">
        <v>2</v>
      </c>
    </row>
    <row r="33" spans="2:4" x14ac:dyDescent="0.3">
      <c r="B33" t="s">
        <v>85</v>
      </c>
      <c r="C33">
        <v>1</v>
      </c>
      <c r="D33">
        <v>1</v>
      </c>
    </row>
    <row r="34" spans="2:4" x14ac:dyDescent="0.3">
      <c r="B34" t="s">
        <v>63</v>
      </c>
      <c r="C34">
        <v>1</v>
      </c>
      <c r="D34">
        <v>1</v>
      </c>
    </row>
    <row r="35" spans="2:4" x14ac:dyDescent="0.3">
      <c r="B35" t="s">
        <v>56</v>
      </c>
    </row>
    <row r="36" spans="2:4" x14ac:dyDescent="0.3">
      <c r="B36" t="s">
        <v>56</v>
      </c>
      <c r="C36">
        <v>1</v>
      </c>
      <c r="D36">
        <v>1</v>
      </c>
    </row>
    <row r="37" spans="2:4" x14ac:dyDescent="0.3">
      <c r="B37" t="s">
        <v>56</v>
      </c>
      <c r="C37">
        <v>1</v>
      </c>
      <c r="D37">
        <v>1</v>
      </c>
    </row>
    <row r="38" spans="2:4" x14ac:dyDescent="0.3">
      <c r="B38" t="s">
        <v>42</v>
      </c>
      <c r="C38">
        <v>1</v>
      </c>
      <c r="D38">
        <v>1</v>
      </c>
    </row>
    <row r="39" spans="2:4" x14ac:dyDescent="0.3">
      <c r="B39" t="s">
        <v>56</v>
      </c>
    </row>
    <row r="40" spans="2:4" x14ac:dyDescent="0.3">
      <c r="B40" t="s">
        <v>23</v>
      </c>
      <c r="C40">
        <v>2</v>
      </c>
      <c r="D40">
        <v>2</v>
      </c>
    </row>
    <row r="41" spans="2:4" x14ac:dyDescent="0.3">
      <c r="B41" t="s">
        <v>56</v>
      </c>
      <c r="C41">
        <v>2</v>
      </c>
      <c r="D41">
        <v>2</v>
      </c>
    </row>
    <row r="42" spans="2:4" x14ac:dyDescent="0.3">
      <c r="B42" t="s">
        <v>108</v>
      </c>
      <c r="C42">
        <v>1</v>
      </c>
      <c r="D42">
        <v>1</v>
      </c>
    </row>
    <row r="43" spans="2:4" x14ac:dyDescent="0.3">
      <c r="B43" t="s">
        <v>68</v>
      </c>
    </row>
    <row r="44" spans="2:4" x14ac:dyDescent="0.3">
      <c r="B44" t="s">
        <v>108</v>
      </c>
      <c r="C44">
        <v>1</v>
      </c>
      <c r="D44">
        <v>1</v>
      </c>
    </row>
    <row r="45" spans="2:4" x14ac:dyDescent="0.3">
      <c r="B45" t="s">
        <v>108</v>
      </c>
      <c r="C45">
        <v>1</v>
      </c>
      <c r="D45">
        <v>1</v>
      </c>
    </row>
    <row r="46" spans="2:4" x14ac:dyDescent="0.3">
      <c r="B46" t="s">
        <v>108</v>
      </c>
      <c r="C46">
        <v>1</v>
      </c>
      <c r="D46">
        <v>1</v>
      </c>
    </row>
    <row r="47" spans="2:4" x14ac:dyDescent="0.3">
      <c r="B47" t="s">
        <v>56</v>
      </c>
    </row>
    <row r="48" spans="2:4" x14ac:dyDescent="0.3">
      <c r="B48" t="s">
        <v>63</v>
      </c>
      <c r="C48">
        <v>3</v>
      </c>
      <c r="D48">
        <v>3</v>
      </c>
    </row>
    <row r="49" spans="2:4" x14ac:dyDescent="0.3">
      <c r="B49" t="s">
        <v>19</v>
      </c>
      <c r="C49">
        <v>2</v>
      </c>
      <c r="D49">
        <v>2</v>
      </c>
    </row>
    <row r="50" spans="2:4" x14ac:dyDescent="0.3">
      <c r="B50" t="s">
        <v>85</v>
      </c>
      <c r="C50">
        <v>2</v>
      </c>
      <c r="D50">
        <v>2</v>
      </c>
    </row>
    <row r="51" spans="2:4" x14ac:dyDescent="0.3">
      <c r="B51" t="s">
        <v>85</v>
      </c>
      <c r="C51">
        <v>1</v>
      </c>
      <c r="D51">
        <v>1</v>
      </c>
    </row>
    <row r="52" spans="2:4" x14ac:dyDescent="0.3">
      <c r="B52" t="s">
        <v>68</v>
      </c>
    </row>
    <row r="53" spans="2:4" x14ac:dyDescent="0.3">
      <c r="B53" t="s">
        <v>63</v>
      </c>
      <c r="C53">
        <v>1</v>
      </c>
      <c r="D53">
        <v>1</v>
      </c>
    </row>
    <row r="54" spans="2:4" x14ac:dyDescent="0.3">
      <c r="B54" t="s">
        <v>42</v>
      </c>
      <c r="C54">
        <v>1</v>
      </c>
      <c r="D54">
        <v>1</v>
      </c>
    </row>
    <row r="55" spans="2:4" x14ac:dyDescent="0.3">
      <c r="B55" t="s">
        <v>68</v>
      </c>
    </row>
    <row r="56" spans="2:4" x14ac:dyDescent="0.3">
      <c r="B56" t="s">
        <v>108</v>
      </c>
      <c r="C56">
        <v>1</v>
      </c>
      <c r="D56">
        <v>1</v>
      </c>
    </row>
    <row r="57" spans="2:4" x14ac:dyDescent="0.3">
      <c r="B57" t="s">
        <v>108</v>
      </c>
      <c r="C57">
        <v>1</v>
      </c>
      <c r="D57">
        <v>1</v>
      </c>
    </row>
    <row r="58" spans="2:4" x14ac:dyDescent="0.3">
      <c r="B58" t="s">
        <v>56</v>
      </c>
    </row>
    <row r="59" spans="2:4" x14ac:dyDescent="0.3">
      <c r="B59" t="s">
        <v>63</v>
      </c>
      <c r="C59">
        <v>1</v>
      </c>
      <c r="D59">
        <v>1</v>
      </c>
    </row>
    <row r="60" spans="2:4" x14ac:dyDescent="0.3">
      <c r="B60" t="s">
        <v>19</v>
      </c>
      <c r="C60">
        <v>1</v>
      </c>
      <c r="D60">
        <v>1</v>
      </c>
    </row>
    <row r="61" spans="2:4" x14ac:dyDescent="0.3">
      <c r="B61" t="s">
        <v>23</v>
      </c>
      <c r="C61">
        <v>1</v>
      </c>
      <c r="D61">
        <v>1</v>
      </c>
    </row>
    <row r="62" spans="2:4" x14ac:dyDescent="0.3">
      <c r="B62" t="s">
        <v>85</v>
      </c>
    </row>
    <row r="63" spans="2:4" x14ac:dyDescent="0.3">
      <c r="B63" t="s">
        <v>56</v>
      </c>
      <c r="C63">
        <v>1</v>
      </c>
      <c r="D63">
        <v>1</v>
      </c>
    </row>
    <row r="64" spans="2:4" x14ac:dyDescent="0.3">
      <c r="B64" t="s">
        <v>56</v>
      </c>
      <c r="C64">
        <v>1</v>
      </c>
      <c r="D64">
        <v>1</v>
      </c>
    </row>
    <row r="65" spans="2:4" x14ac:dyDescent="0.3">
      <c r="B65" t="s">
        <v>85</v>
      </c>
      <c r="C65">
        <v>1</v>
      </c>
      <c r="D65">
        <v>1</v>
      </c>
    </row>
    <row r="66" spans="2:4" x14ac:dyDescent="0.3">
      <c r="B66" t="s">
        <v>56</v>
      </c>
    </row>
    <row r="67" spans="2:4" x14ac:dyDescent="0.3">
      <c r="B67" t="s">
        <v>63</v>
      </c>
      <c r="C67">
        <v>2</v>
      </c>
      <c r="D67">
        <v>2</v>
      </c>
    </row>
    <row r="68" spans="2:4" x14ac:dyDescent="0.3">
      <c r="B68" t="s">
        <v>63</v>
      </c>
      <c r="C68">
        <v>2</v>
      </c>
      <c r="D68">
        <v>2</v>
      </c>
    </row>
    <row r="69" spans="2:4" x14ac:dyDescent="0.3">
      <c r="B69" t="s">
        <v>23</v>
      </c>
      <c r="C69">
        <v>1</v>
      </c>
      <c r="D69">
        <v>1</v>
      </c>
    </row>
    <row r="70" spans="2:4" x14ac:dyDescent="0.3">
      <c r="B70" t="s">
        <v>85</v>
      </c>
    </row>
    <row r="71" spans="2:4" x14ac:dyDescent="0.3">
      <c r="B71" t="s">
        <v>68</v>
      </c>
      <c r="C71">
        <v>1</v>
      </c>
      <c r="D71">
        <v>1</v>
      </c>
    </row>
    <row r="72" spans="2:4" x14ac:dyDescent="0.3">
      <c r="B72" t="s">
        <v>68</v>
      </c>
      <c r="C72">
        <v>1</v>
      </c>
      <c r="D72">
        <v>1</v>
      </c>
    </row>
    <row r="73" spans="2:4" x14ac:dyDescent="0.3">
      <c r="B73" t="s">
        <v>108</v>
      </c>
      <c r="C73">
        <v>1</v>
      </c>
      <c r="D73">
        <v>1</v>
      </c>
    </row>
    <row r="74" spans="2:4" x14ac:dyDescent="0.3">
      <c r="B74" t="s">
        <v>85</v>
      </c>
    </row>
    <row r="75" spans="2:4" x14ac:dyDescent="0.3">
      <c r="B75" t="s">
        <v>77</v>
      </c>
      <c r="C75">
        <v>2</v>
      </c>
      <c r="D75">
        <v>2</v>
      </c>
    </row>
    <row r="76" spans="2:4" x14ac:dyDescent="0.3">
      <c r="B76" t="s">
        <v>85</v>
      </c>
      <c r="C76">
        <v>2</v>
      </c>
      <c r="D76">
        <v>2</v>
      </c>
    </row>
    <row r="77" spans="2:4" x14ac:dyDescent="0.3">
      <c r="B77" t="s">
        <v>63</v>
      </c>
      <c r="C77">
        <v>1</v>
      </c>
      <c r="D77">
        <v>1</v>
      </c>
    </row>
    <row r="78" spans="2:4" x14ac:dyDescent="0.3">
      <c r="B78" t="s">
        <v>19</v>
      </c>
    </row>
    <row r="79" spans="2:4" x14ac:dyDescent="0.3">
      <c r="B79" t="s">
        <v>77</v>
      </c>
      <c r="C79">
        <v>1</v>
      </c>
      <c r="D79">
        <v>1</v>
      </c>
    </row>
    <row r="80" spans="2:4" x14ac:dyDescent="0.3">
      <c r="B80" t="s">
        <v>77</v>
      </c>
      <c r="C80">
        <v>1</v>
      </c>
      <c r="D80">
        <v>1</v>
      </c>
    </row>
    <row r="81" spans="2:4" x14ac:dyDescent="0.3">
      <c r="B81" t="s">
        <v>42</v>
      </c>
      <c r="C81">
        <v>1</v>
      </c>
      <c r="D81">
        <v>1</v>
      </c>
    </row>
    <row r="82" spans="2:4" x14ac:dyDescent="0.3">
      <c r="B82" t="s">
        <v>19</v>
      </c>
    </row>
    <row r="83" spans="2:4" x14ac:dyDescent="0.3">
      <c r="B83" t="s">
        <v>77</v>
      </c>
      <c r="C83">
        <v>1</v>
      </c>
      <c r="D83">
        <v>1</v>
      </c>
    </row>
    <row r="84" spans="2:4" x14ac:dyDescent="0.3">
      <c r="B84" t="s">
        <v>85</v>
      </c>
      <c r="C84">
        <v>1</v>
      </c>
      <c r="D84">
        <v>1</v>
      </c>
    </row>
    <row r="85" spans="2:4" x14ac:dyDescent="0.3">
      <c r="B85" t="s">
        <v>63</v>
      </c>
      <c r="C85">
        <v>1</v>
      </c>
      <c r="D85">
        <v>1</v>
      </c>
    </row>
    <row r="86" spans="2:4" x14ac:dyDescent="0.3">
      <c r="B86" t="s">
        <v>23</v>
      </c>
    </row>
    <row r="87" spans="2:4" x14ac:dyDescent="0.3">
      <c r="B87" t="s">
        <v>23</v>
      </c>
      <c r="C87">
        <v>1</v>
      </c>
      <c r="D87">
        <v>1</v>
      </c>
    </row>
    <row r="88" spans="2:4" x14ac:dyDescent="0.3">
      <c r="B88" t="s">
        <v>108</v>
      </c>
      <c r="C88">
        <v>1</v>
      </c>
      <c r="D88">
        <v>1</v>
      </c>
    </row>
    <row r="89" spans="2:4" x14ac:dyDescent="0.3">
      <c r="B89" t="s">
        <v>23</v>
      </c>
    </row>
    <row r="90" spans="2:4" x14ac:dyDescent="0.3">
      <c r="B90" t="s">
        <v>42</v>
      </c>
      <c r="C90">
        <v>1</v>
      </c>
      <c r="D90">
        <v>1</v>
      </c>
    </row>
    <row r="91" spans="2:4" x14ac:dyDescent="0.3">
      <c r="B91" t="s">
        <v>42</v>
      </c>
      <c r="C91">
        <v>1</v>
      </c>
      <c r="D91">
        <v>1</v>
      </c>
    </row>
    <row r="92" spans="2:4" x14ac:dyDescent="0.3">
      <c r="B92" t="s">
        <v>108</v>
      </c>
      <c r="C92">
        <v>1</v>
      </c>
      <c r="D92">
        <v>1</v>
      </c>
    </row>
    <row r="93" spans="2:4" x14ac:dyDescent="0.3">
      <c r="B93" t="s">
        <v>63</v>
      </c>
    </row>
    <row r="94" spans="2:4" x14ac:dyDescent="0.3">
      <c r="B94" t="s">
        <v>19</v>
      </c>
      <c r="C94">
        <v>2</v>
      </c>
      <c r="D94">
        <v>2</v>
      </c>
    </row>
    <row r="95" spans="2:4" x14ac:dyDescent="0.3">
      <c r="B95" t="s">
        <v>19</v>
      </c>
      <c r="C95">
        <v>2</v>
      </c>
      <c r="D95">
        <v>2</v>
      </c>
    </row>
    <row r="96" spans="2:4" x14ac:dyDescent="0.3">
      <c r="B96" t="s">
        <v>85</v>
      </c>
      <c r="C96">
        <v>1</v>
      </c>
      <c r="D96">
        <v>1</v>
      </c>
    </row>
    <row r="97" spans="2:4" x14ac:dyDescent="0.3">
      <c r="B97" t="s">
        <v>19</v>
      </c>
    </row>
    <row r="98" spans="2:4" x14ac:dyDescent="0.3">
      <c r="B98" t="s">
        <v>77</v>
      </c>
      <c r="C98">
        <v>1</v>
      </c>
      <c r="D98">
        <v>1</v>
      </c>
    </row>
    <row r="99" spans="2:4" x14ac:dyDescent="0.3">
      <c r="B99" t="s">
        <v>56</v>
      </c>
      <c r="C99">
        <v>1</v>
      </c>
      <c r="D99">
        <v>1</v>
      </c>
    </row>
    <row r="100" spans="2:4" x14ac:dyDescent="0.3">
      <c r="B100" t="s">
        <v>56</v>
      </c>
    </row>
    <row r="101" spans="2:4" x14ac:dyDescent="0.3">
      <c r="B101" t="s">
        <v>68</v>
      </c>
      <c r="C101">
        <v>1</v>
      </c>
      <c r="D101">
        <v>1</v>
      </c>
    </row>
    <row r="102" spans="2:4" x14ac:dyDescent="0.3">
      <c r="B102" t="s">
        <v>23</v>
      </c>
      <c r="C102">
        <v>1</v>
      </c>
      <c r="D102">
        <v>1</v>
      </c>
    </row>
    <row r="103" spans="2:4" x14ac:dyDescent="0.3">
      <c r="B103" t="s">
        <v>68</v>
      </c>
      <c r="C103">
        <v>1</v>
      </c>
      <c r="D103">
        <v>1</v>
      </c>
    </row>
    <row r="104" spans="2:4" x14ac:dyDescent="0.3">
      <c r="B104" t="s">
        <v>68</v>
      </c>
    </row>
    <row r="105" spans="2:4" x14ac:dyDescent="0.3">
      <c r="B105" t="s">
        <v>68</v>
      </c>
      <c r="C105">
        <v>2</v>
      </c>
      <c r="D105">
        <v>2</v>
      </c>
    </row>
    <row r="106" spans="2:4" x14ac:dyDescent="0.3">
      <c r="B106" t="s">
        <v>23</v>
      </c>
      <c r="C106">
        <v>2</v>
      </c>
      <c r="D106">
        <v>2</v>
      </c>
    </row>
    <row r="107" spans="2:4" x14ac:dyDescent="0.3">
      <c r="B107" t="s">
        <v>108</v>
      </c>
      <c r="C107">
        <v>1</v>
      </c>
      <c r="D107">
        <v>1</v>
      </c>
    </row>
    <row r="108" spans="2:4" x14ac:dyDescent="0.3">
      <c r="B108" t="s">
        <v>23</v>
      </c>
    </row>
    <row r="109" spans="2:4" x14ac:dyDescent="0.3">
      <c r="B109" t="s">
        <v>68</v>
      </c>
      <c r="C109">
        <v>2</v>
      </c>
      <c r="D109">
        <v>2</v>
      </c>
    </row>
    <row r="110" spans="2:4" x14ac:dyDescent="0.3">
      <c r="B110" t="s">
        <v>68</v>
      </c>
      <c r="C110">
        <v>2</v>
      </c>
      <c r="D110">
        <v>2</v>
      </c>
    </row>
    <row r="111" spans="2:4" x14ac:dyDescent="0.3">
      <c r="B111" t="s">
        <v>42</v>
      </c>
      <c r="C111">
        <v>1</v>
      </c>
      <c r="D111">
        <v>1</v>
      </c>
    </row>
    <row r="112" spans="2:4" x14ac:dyDescent="0.3">
      <c r="B112" t="s">
        <v>23</v>
      </c>
    </row>
    <row r="113" spans="2:4" x14ac:dyDescent="0.3">
      <c r="B113" t="s">
        <v>85</v>
      </c>
      <c r="C113">
        <v>3</v>
      </c>
      <c r="D113">
        <v>3</v>
      </c>
    </row>
    <row r="114" spans="2:4" x14ac:dyDescent="0.3">
      <c r="B114" t="s">
        <v>77</v>
      </c>
      <c r="C114">
        <v>3</v>
      </c>
      <c r="D114">
        <v>3</v>
      </c>
    </row>
    <row r="115" spans="2:4" x14ac:dyDescent="0.3">
      <c r="B115" t="s">
        <v>42</v>
      </c>
      <c r="C115">
        <v>2</v>
      </c>
      <c r="D115">
        <v>2</v>
      </c>
    </row>
    <row r="116" spans="2:4" x14ac:dyDescent="0.3">
      <c r="B116" t="s">
        <v>23</v>
      </c>
    </row>
    <row r="117" spans="2:4" x14ac:dyDescent="0.3">
      <c r="B117" t="s">
        <v>77</v>
      </c>
      <c r="C117">
        <v>2</v>
      </c>
      <c r="D117">
        <v>2</v>
      </c>
    </row>
    <row r="118" spans="2:4" x14ac:dyDescent="0.3">
      <c r="B118" t="s">
        <v>68</v>
      </c>
      <c r="C118">
        <v>2</v>
      </c>
      <c r="D118">
        <v>2</v>
      </c>
    </row>
    <row r="119" spans="2:4" x14ac:dyDescent="0.3">
      <c r="B119" t="s">
        <v>42</v>
      </c>
      <c r="C119">
        <v>1</v>
      </c>
      <c r="D11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4B03B611DDDF448B80F7EE7C0DE3EF" ma:contentTypeVersion="3" ma:contentTypeDescription="Crear nuevo documento." ma:contentTypeScope="" ma:versionID="75b20d9ef2262c5f8ab29ba7e4ab2d95">
  <xsd:schema xmlns:xsd="http://www.w3.org/2001/XMLSchema" xmlns:xs="http://www.w3.org/2001/XMLSchema" xmlns:p="http://schemas.microsoft.com/office/2006/metadata/properties" xmlns:ns2="d0c07f51-b737-4f7f-bf2a-961fc90b9933" targetNamespace="http://schemas.microsoft.com/office/2006/metadata/properties" ma:root="true" ma:fieldsID="2b9e11e745b1e8a215357a13caa98e6d" ns2:_="">
    <xsd:import namespace="d0c07f51-b737-4f7f-bf2a-961fc90b99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07f51-b737-4f7f-bf2a-961fc90b99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A2E586-EAA5-4A82-B2DC-B8AA12973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c07f51-b737-4f7f-bf2a-961fc90b99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07C465-63EB-44A5-AFDF-DF81D77826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8DFBFC-FD6E-4DEF-B5F2-281D7B51CA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Backlog - P-US</vt:lpstr>
      <vt:lpstr>Sprint Backlog - Tiempo</vt:lpstr>
      <vt:lpstr>Tabla 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PILAR REYES HERNANDEZ</dc:creator>
  <cp:keywords/>
  <dc:description/>
  <cp:lastModifiedBy>David Eduardo Florez Duran</cp:lastModifiedBy>
  <cp:revision/>
  <dcterms:created xsi:type="dcterms:W3CDTF">2023-08-08T19:20:16Z</dcterms:created>
  <dcterms:modified xsi:type="dcterms:W3CDTF">2026-03-18T16:35:09Z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0x0101007F4B03B611DDDF448B80F7EE7C0DE3EF</vt:lpwstr>
  </property>
</Properties>
</file>